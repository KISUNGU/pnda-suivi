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9921C6D6-C3EC-4EB6-9346-5A7F9C0046D3}" xr6:coauthVersionLast="47" xr6:coauthVersionMax="47" xr10:uidLastSave="{00000000-0000-0000-0000-000000000000}"/>
  <bookViews>
    <workbookView xWindow="-108" yWindow="-108" windowWidth="23256" windowHeight="12456" xr2:uid="{A1051E92-E6D6-4294-A9E3-8131C998F93D}"/>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7" i="1" l="1"/>
  <c r="F133" i="1"/>
  <c r="F132" i="1"/>
  <c r="F123" i="1"/>
  <c r="F124" i="1"/>
  <c r="F125" i="1"/>
  <c r="F126" i="1"/>
  <c r="F127" i="1"/>
  <c r="F128" i="1"/>
  <c r="F129" i="1"/>
  <c r="F130" i="1"/>
  <c r="F131" i="1"/>
  <c r="F122" i="1"/>
  <c r="F134" i="1" s="1"/>
  <c r="F135" i="1" s="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81" i="1"/>
  <c r="F76" i="1"/>
  <c r="F75" i="1"/>
  <c r="F77" i="1" s="1"/>
  <c r="F78" i="1" s="1"/>
  <c r="F63" i="1"/>
  <c r="F64" i="1"/>
  <c r="F65" i="1"/>
  <c r="F66" i="1"/>
  <c r="F67" i="1"/>
  <c r="F68" i="1"/>
  <c r="F69" i="1"/>
  <c r="F70" i="1"/>
  <c r="F71" i="1"/>
  <c r="F62" i="1"/>
  <c r="F61" i="1"/>
  <c r="F56" i="1"/>
  <c r="F55" i="1"/>
  <c r="F54" i="1"/>
  <c r="F53" i="1"/>
  <c r="F52" i="1"/>
  <c r="F51" i="1"/>
  <c r="F50" i="1"/>
  <c r="F43" i="1"/>
  <c r="F44" i="1"/>
  <c r="F45" i="1"/>
  <c r="F46" i="1"/>
  <c r="F47" i="1"/>
  <c r="F48" i="1"/>
  <c r="F49" i="1"/>
  <c r="F40" i="1"/>
  <c r="F41" i="1"/>
  <c r="F42" i="1"/>
  <c r="F39" i="1"/>
  <c r="G35" i="1"/>
  <c r="G36" i="1"/>
  <c r="F35" i="1"/>
  <c r="F36" i="1"/>
  <c r="G34" i="1"/>
  <c r="F34" i="1"/>
  <c r="F37" i="1" s="1"/>
  <c r="F38" i="1" s="1"/>
  <c r="G18" i="1"/>
  <c r="G19" i="1"/>
  <c r="G20" i="1"/>
  <c r="G21" i="1"/>
  <c r="G22" i="1"/>
  <c r="G23" i="1"/>
  <c r="G24" i="1"/>
  <c r="G25" i="1"/>
  <c r="G26" i="1"/>
  <c r="G27" i="1"/>
  <c r="G28" i="1"/>
  <c r="G29" i="1"/>
  <c r="G30" i="1"/>
  <c r="G31" i="1"/>
  <c r="F18" i="1"/>
  <c r="F19" i="1"/>
  <c r="F20" i="1"/>
  <c r="F21" i="1"/>
  <c r="F22" i="1"/>
  <c r="F23" i="1"/>
  <c r="F24" i="1"/>
  <c r="F25" i="1"/>
  <c r="F26" i="1"/>
  <c r="F27" i="1"/>
  <c r="F28" i="1"/>
  <c r="F29" i="1"/>
  <c r="F30" i="1"/>
  <c r="F31" i="1"/>
  <c r="G6" i="1"/>
  <c r="G7" i="1"/>
  <c r="G8" i="1"/>
  <c r="G9" i="1"/>
  <c r="G10" i="1"/>
  <c r="G11" i="1"/>
  <c r="G12" i="1"/>
  <c r="G13" i="1"/>
  <c r="G14" i="1"/>
  <c r="G15" i="1"/>
  <c r="G16" i="1"/>
  <c r="G17" i="1"/>
  <c r="F6" i="1"/>
  <c r="F7" i="1"/>
  <c r="F8" i="1"/>
  <c r="F9" i="1"/>
  <c r="F10" i="1"/>
  <c r="F11" i="1"/>
  <c r="F12" i="1"/>
  <c r="F13" i="1"/>
  <c r="F14" i="1"/>
  <c r="F15" i="1"/>
  <c r="F16" i="1"/>
  <c r="F17" i="1"/>
  <c r="G5" i="1"/>
  <c r="F5" i="1"/>
  <c r="F32" i="1" l="1"/>
  <c r="F33" i="1" s="1"/>
  <c r="F117" i="1"/>
  <c r="F118" i="1" s="1"/>
  <c r="F136" i="1" s="1"/>
  <c r="F72" i="1"/>
  <c r="F73" i="1" s="1"/>
  <c r="F79" i="1"/>
  <c r="F57" i="1"/>
  <c r="F58" i="1" s="1"/>
  <c r="F59" i="1" s="1"/>
</calcChain>
</file>

<file path=xl/sharedStrings.xml><?xml version="1.0" encoding="utf-8"?>
<sst xmlns="http://schemas.openxmlformats.org/spreadsheetml/2006/main" count="404" uniqueCount="349">
  <si>
    <t>Rubrique</t>
  </si>
  <si>
    <t>Activités/Sous activités</t>
  </si>
  <si>
    <t>Indicateurs de réalisation</t>
  </si>
  <si>
    <t>Appui direct aux petits exploitants</t>
  </si>
  <si>
    <t>1.1.01</t>
  </si>
  <si>
    <t>Recrutement des Opérateurs techniques (O.T.) LT Kwilu</t>
  </si>
  <si>
    <t>OT recruté</t>
  </si>
  <si>
    <t>1.1.02</t>
  </si>
  <si>
    <t>Recrutement des Opérateurs techniques (O.T.) LT Kasaï</t>
  </si>
  <si>
    <t>1.1.03</t>
  </si>
  <si>
    <t>Recrutement des Opérateurs techniques (O.T.) LT Kasaï Central</t>
  </si>
  <si>
    <t>1.1.04</t>
  </si>
  <si>
    <t>Recrutement des Opérateurs techniques (O.T.) LT Kongo Central</t>
  </si>
  <si>
    <t>1.1.05</t>
  </si>
  <si>
    <t>Opérateur pour enregistrement PEA Kongo Central</t>
  </si>
  <si>
    <t xml:space="preserve">OT </t>
  </si>
  <si>
    <t>1.1.06</t>
  </si>
  <si>
    <t>Recrutement de VSF-B pour le volet élevage (3 provinces)</t>
  </si>
  <si>
    <t>1.1.07</t>
  </si>
  <si>
    <t>Opérateur Technique Avenant pilote</t>
  </si>
  <si>
    <t>1.1.08</t>
  </si>
  <si>
    <t>Production des outils de vulgarisation et traduction en langues locales (Tshiluba et Kikongo)</t>
  </si>
  <si>
    <t>1.1.09</t>
  </si>
  <si>
    <t>Production des bulletins des prix (OBSECO)</t>
  </si>
  <si>
    <t>1.1.10</t>
  </si>
  <si>
    <t>Superviser des activités</t>
  </si>
  <si>
    <t>1.1.11</t>
  </si>
  <si>
    <t>Suivre enregistrement PEA dans le RNA (contrat FAO)</t>
  </si>
  <si>
    <t>Nombre de missions effectuées</t>
  </si>
  <si>
    <t>1.1.12</t>
  </si>
  <si>
    <t>Prendre en charge le comité DANTIC lors de la formation des AC à l'outil IDEA</t>
  </si>
  <si>
    <t>1.1.13</t>
  </si>
  <si>
    <t>Aménager les sites hydro agricoles   Tanganyika</t>
  </si>
  <si>
    <t>1.1.14</t>
  </si>
  <si>
    <t>Retrait des boutures des maniocs a l'INERA-Ngandajika (Transports, mains d'ouvre pour la coupe, achats sac etc.)</t>
  </si>
  <si>
    <t>1.1.15</t>
  </si>
  <si>
    <t>Mission de contrôle et vérification des champs semenciers de base (INERA), R1 et R2 (Agri-multiplicateurs) des partenaires au PNDA</t>
  </si>
  <si>
    <t>1.1.16</t>
  </si>
  <si>
    <t>Mettre en place les champs expérimentaux Riz dans le Kwilu</t>
  </si>
  <si>
    <t>1.1.17</t>
  </si>
  <si>
    <t xml:space="preserve">Actualisation CGES, PGPP </t>
  </si>
  <si>
    <t>1.1.18</t>
  </si>
  <si>
    <t>Actualisation CPPA et PMPP</t>
  </si>
  <si>
    <t>1.1.19</t>
  </si>
  <si>
    <t>Actualisation PGMO , CPR ,</t>
  </si>
  <si>
    <t>1.1.20</t>
  </si>
  <si>
    <t xml:space="preserve">Elaboration de plan de Gestion des déchets </t>
  </si>
  <si>
    <t>1.1.21</t>
  </si>
  <si>
    <t>Dissémination du Plan de Gestion des déchets</t>
  </si>
  <si>
    <t>1.1.22</t>
  </si>
  <si>
    <t>Dissémination du CGES PGPP, PMPP, CPR, MGP et plan d'Action VBG</t>
  </si>
  <si>
    <t>1.1.23</t>
  </si>
  <si>
    <t>Evaluation des risques VBG TSHOPO et Kongo Central</t>
  </si>
  <si>
    <t>1.1.24</t>
  </si>
  <si>
    <t>Mise en œuvre des activités MGP dans le Kongo central et Tshopo</t>
  </si>
  <si>
    <t>1.1.25</t>
  </si>
  <si>
    <t>Equipement et fournitures des CGP</t>
  </si>
  <si>
    <t>1.1.26</t>
  </si>
  <si>
    <t>Mise en œuvre des activités VBG dans le Kasaï Central, Kasaï et Kwilu</t>
  </si>
  <si>
    <t>1.1.27</t>
  </si>
  <si>
    <t>Recrutement d'un Prestataire VBG dans le Kongo Central</t>
  </si>
  <si>
    <t>Sous-total sous composante 1.1.</t>
  </si>
  <si>
    <t>1.2.1</t>
  </si>
  <si>
    <t>Recruter consultants Opérateur Financier (OF)</t>
  </si>
  <si>
    <t>1.2.2</t>
  </si>
  <si>
    <t>Effectuer les missions d'échange d'expérience sur l'inclusion financière</t>
  </si>
  <si>
    <t>1.2.4</t>
  </si>
  <si>
    <t>Nombre de sous-projets appuyés</t>
  </si>
  <si>
    <t>Sous-total sous composante 1.2.</t>
  </si>
  <si>
    <t>1.3.1</t>
  </si>
  <si>
    <t xml:space="preserve">Souscrire à l'assurance en faveur des petits exploitants pour les deux saisons 2026 (B et A) </t>
  </si>
  <si>
    <t>Police d'assurances souscrites</t>
  </si>
  <si>
    <t>1.3.2</t>
  </si>
  <si>
    <t xml:space="preserve">Recruter 8 consultants en appui à l'élaboration de 8 plan des contingences </t>
  </si>
  <si>
    <t>1.3.3</t>
  </si>
  <si>
    <t xml:space="preserve">Organiser 4 ateliers résidentiels pour l'amélioration et la validation de plans de contingence </t>
  </si>
  <si>
    <t>1.3.4</t>
  </si>
  <si>
    <t xml:space="preserve">Recruter par entente directe TAHMO pour acquerir et installer les stations météorologiques et organiser au niveau central et de chaque province la formation des formateurs sur l'utilisation et l'exploitation des stations météorologiques, la gestion, le traitement et l'analyse des données climatiques </t>
  </si>
  <si>
    <t>1.3.5</t>
  </si>
  <si>
    <t xml:space="preserve">Signer le protocole de collaboration avec la METTELSAT et appuyer l'institution METTELSAT pour l'exploitation et la maintenance des stations météorologiques ainsi que la gestion, le traitement et l'analyse des données climatiques </t>
  </si>
  <si>
    <t>1.3.6</t>
  </si>
  <si>
    <t>Recruter une firme ou une ONG pour mener l'étude sur la cartographie des nouvelles zones méso et micro agro-climatiques et les nouveaux calendriers agricoles dynamiques aux changements climatiques dans les zones d'interventions du projet</t>
  </si>
  <si>
    <t>1.3.7</t>
  </si>
  <si>
    <t>Mettre à jour, imprimer et vulgariser le Plan de contingence climatique (y compris la cérémonie de vulgarisation avec le Ministre d'Etat)</t>
  </si>
  <si>
    <t>1.3.8</t>
  </si>
  <si>
    <t>Appuyer l'élaboration de la stratégie de communication spécifique à l'assurance agricole</t>
  </si>
  <si>
    <t>1.3.9</t>
  </si>
  <si>
    <t>Organiser des ateliers provinciaux de sensibilisation et communication sur l'assurance agricole</t>
  </si>
  <si>
    <t>1.3.10</t>
  </si>
  <si>
    <t xml:space="preserve">Organiser le voyage d'études et d'échange au Kenya sur le produit d'assurance élevage </t>
  </si>
  <si>
    <t>1.3.11</t>
  </si>
  <si>
    <t>Organiser la mission pour la validation du produit d'assurance élevage à Paris chez Axa Climate</t>
  </si>
  <si>
    <t>1.3.12</t>
  </si>
  <si>
    <t>Organiser 2 campagnes de sensibilisation contre la chenille légionnaire d'automne</t>
  </si>
  <si>
    <t>1.3.13</t>
  </si>
  <si>
    <t>Appuyer les PEA dans la prévention contre la chenille légionaire d'automne</t>
  </si>
  <si>
    <t>1.3.14</t>
  </si>
  <si>
    <t>Imprimer et vulgariser le Plan de contingence climatique du secteur agricole</t>
  </si>
  <si>
    <t>1.3.15</t>
  </si>
  <si>
    <t>Organiser l'atelier de présentation et d'enterinnement institutionnel du plan de contingence climatique du secteur agricole en RDC</t>
  </si>
  <si>
    <t>1.3.16</t>
  </si>
  <si>
    <t xml:space="preserve">Atelier national de présentation et appropriation du premier produit d'assurance de l'élevage en RDC </t>
  </si>
  <si>
    <t>1.3.17</t>
  </si>
  <si>
    <t xml:space="preserve">Effectuer des missions de suivi des activités liées à la gestion des risques </t>
  </si>
  <si>
    <t>1.3.18</t>
  </si>
  <si>
    <t xml:space="preserve">Organiser des réunions et activités de la Task Force </t>
  </si>
  <si>
    <t>Sous-total sous composante 1.3.</t>
  </si>
  <si>
    <t>Total composante 1.</t>
  </si>
  <si>
    <t>Infrastructure de transport rural</t>
  </si>
  <si>
    <t>2.1.1</t>
  </si>
  <si>
    <t>Réhabiliter routes rurales et non rurales</t>
  </si>
  <si>
    <t>Km de routes réhabilitées</t>
  </si>
  <si>
    <t>2.1.2</t>
  </si>
  <si>
    <t>Mettre en œuvre le contrat sur les études techniques</t>
  </si>
  <si>
    <t>2.1.3</t>
  </si>
  <si>
    <t xml:space="preserve">Construire le pont modulaire de LUBELEYI (Tanganyika) </t>
  </si>
  <si>
    <t>2.1.4</t>
  </si>
  <si>
    <t>Fournir un bac de 50T pour le site de Luozi</t>
  </si>
  <si>
    <t>2.1.5</t>
  </si>
  <si>
    <t>Actualisation EIES route Kimpese-Kimbembe</t>
  </si>
  <si>
    <t>Mission</t>
  </si>
  <si>
    <t>2.1.6</t>
  </si>
  <si>
    <t xml:space="preserve">Elaborations PGES Des rampes de Luozi, Djuma  </t>
  </si>
  <si>
    <t>EIES validés</t>
  </si>
  <si>
    <t>2.1.7</t>
  </si>
  <si>
    <t>Actualisation EIES OU PGES Pont Lubeleye</t>
  </si>
  <si>
    <t>PAR validé</t>
  </si>
  <si>
    <t>2.1.8</t>
  </si>
  <si>
    <t>Actualisation PGES ou EIES Hydro Agricole dans la plaine de Rugumba</t>
  </si>
  <si>
    <t>PPA mis en œuvre</t>
  </si>
  <si>
    <t>2.1.9</t>
  </si>
  <si>
    <t>Actualisation PAR des territoires Luebo et MWEKA</t>
  </si>
  <si>
    <t>2.1.10</t>
  </si>
  <si>
    <t>Actualisation PAR Territoire de GUNGU</t>
  </si>
  <si>
    <t>2.1.11</t>
  </si>
  <si>
    <t>Elaboration PAR de l'axe Kimpese-Kimbembe</t>
  </si>
  <si>
    <t>Sous-total sous composante 2.1.</t>
  </si>
  <si>
    <t>Soutien à l'inclusion des petits exploitants agricoles dans les filières</t>
  </si>
  <si>
    <t>2.1.19</t>
  </si>
  <si>
    <t xml:space="preserve">Soutien à l'inclusion des petits exploitants agricoles dans les filières  </t>
  </si>
  <si>
    <t>2.1.20</t>
  </si>
  <si>
    <t>Recrutement de FPM et mise en œuvre liées à la ligne de crédit</t>
  </si>
  <si>
    <t>Sous-total sous composante 2.2.</t>
  </si>
  <si>
    <t>Total composante 2.</t>
  </si>
  <si>
    <t>Renforcement des capacités pour la prestation de services publics agricoles</t>
  </si>
  <si>
    <t>3.1.1</t>
  </si>
  <si>
    <t>Reconstruction du bâtiment des inspections provinciales Agri, Pêche et Elevage et DR &amp; SG Agri, Pêche et Elevage</t>
  </si>
  <si>
    <t>Bâtiment construit</t>
  </si>
  <si>
    <t>3.1.2</t>
  </si>
  <si>
    <t xml:space="preserve">Reconstruction / Réhabilitation des bâtiments des SG &amp; DEP Agri, Pêche et Elevage et DR </t>
  </si>
  <si>
    <t>3.1.3</t>
  </si>
  <si>
    <t>Elaboration des TDR des études prioritaires pour la préparation des investissements futurs du secteur de l'élevage, de la pêche et de l'aquaculture</t>
  </si>
  <si>
    <t>3.1.4</t>
  </si>
  <si>
    <t>Formation en gestion axée sur les résultats pour les services étatiques (3 DEP)</t>
  </si>
  <si>
    <t>3.1.5</t>
  </si>
  <si>
    <t>Formation sur l'Agro écologie</t>
  </si>
  <si>
    <t>3.1.6</t>
  </si>
  <si>
    <t>Elaboration des EIES des Bâtiments pour l'Inspections provinciales d'Agriculture, Pèche et Elevage et Daru et secrétariats Généraux à Kinshasa</t>
  </si>
  <si>
    <t>3.1.7</t>
  </si>
  <si>
    <t xml:space="preserve">Enquête auprès des bénéficiaires du PNDA ( 2 enquêtes) </t>
  </si>
  <si>
    <t>Charges et Fonctionnement</t>
  </si>
  <si>
    <t>3.1.9</t>
  </si>
  <si>
    <t>Acquérir le matériel informatique pour les Inspections + administrations (ordinateurs ; imprimantes,)</t>
  </si>
  <si>
    <t>3.1.10</t>
  </si>
  <si>
    <t>Renforcement des capacités pour la production de semences (One CGIAR)</t>
  </si>
  <si>
    <t>3.1.11</t>
  </si>
  <si>
    <t>Acquérir les matériels /équipements agricoles pour la production des intrants (INERA)</t>
  </si>
  <si>
    <t>3.1.12</t>
  </si>
  <si>
    <t xml:space="preserve">Appuyer le SENASEM au contrôle et à la certification de la production semencière </t>
  </si>
  <si>
    <t>3.1.13</t>
  </si>
  <si>
    <t>Appuyer INERA pour la production semence de base</t>
  </si>
  <si>
    <t>3.1.14</t>
  </si>
  <si>
    <t>Appuyer le SNSA sur la collecte des statistiques agricoles dans la zone du PNDA</t>
  </si>
  <si>
    <t>3.1.15</t>
  </si>
  <si>
    <t>Appuyer le SENAFIC (Service National des Fertilisants et Intrants Connexes) sur le renforcement des capacités des techniciens de terrain sur la promotion des engrais biologiques</t>
  </si>
  <si>
    <t>3.1.16</t>
  </si>
  <si>
    <t>Evaluer et actualiser la stratégie sectorielle PECHE, ELEVAGE ET AQUACULTURE</t>
  </si>
  <si>
    <t>3.1.17</t>
  </si>
  <si>
    <t>Elaborer le document de politique du développement rural</t>
  </si>
  <si>
    <t>3.1.18</t>
  </si>
  <si>
    <t>Elaborer le document de stratégie du développement rural</t>
  </si>
  <si>
    <t>3.1.19</t>
  </si>
  <si>
    <t>Effectuer les voyages d'études et d'échange d'expériences</t>
  </si>
  <si>
    <t>3.1.20</t>
  </si>
  <si>
    <t>Réunions CTN, CPCS</t>
  </si>
  <si>
    <t>3.1.21</t>
  </si>
  <si>
    <t>Mission de suivi des activités CTN, CPCS</t>
  </si>
  <si>
    <t>3.1.22</t>
  </si>
  <si>
    <t>Réaliser l’enquête de base IDEA CONSULT</t>
  </si>
  <si>
    <t>3.1.23</t>
  </si>
  <si>
    <t xml:space="preserve">Actualisation PGS </t>
  </si>
  <si>
    <t>3.1.24</t>
  </si>
  <si>
    <t>Atelier de formation sur la sécurité routière à Kinshasa</t>
  </si>
  <si>
    <t>3.1.25</t>
  </si>
  <si>
    <t>Atelier de formation des staffs PNDA et services étatiques sur le CES</t>
  </si>
  <si>
    <t>3.1.26</t>
  </si>
  <si>
    <t>Formation sur Hygiène santé et sécurité</t>
  </si>
  <si>
    <t>3.1.27</t>
  </si>
  <si>
    <t>Elaboration PPA Tshopo</t>
  </si>
  <si>
    <t>3.1.28</t>
  </si>
  <si>
    <t>Fonctionnement des CGP</t>
  </si>
  <si>
    <t>3.1.29</t>
  </si>
  <si>
    <t xml:space="preserve">Former les Agents de l'Etat et Staff PNDA sur les VBG/EAS/HS dans les quatre provinces </t>
  </si>
  <si>
    <t>3.1.30</t>
  </si>
  <si>
    <t>Missions de suivi Environnemental, Social/VBG</t>
  </si>
  <si>
    <t>3.1.31</t>
  </si>
  <si>
    <t>Atelier de validation des fiches techniques des paquets techniques</t>
  </si>
  <si>
    <t>3.1.32</t>
  </si>
  <si>
    <t>Atelier de vulgarisation des normes de multiplication des géniteurs auprès des Producteurs et des PEA</t>
  </si>
  <si>
    <t>3.1.33</t>
  </si>
  <si>
    <t xml:space="preserve">Actualisation du Plan National d’Investissement Agricole, PNIA en PNIASAN </t>
  </si>
  <si>
    <t>3.1.34</t>
  </si>
  <si>
    <t>Elaborer la stratégie d’opérationnalisation de la Politique agricole durable, PAD</t>
  </si>
  <si>
    <t>3.1.35</t>
  </si>
  <si>
    <t>Elaborer la stratégie de mise en œuvre de la Revanche du sol sur le sous-sol</t>
  </si>
  <si>
    <t>3.1.36</t>
  </si>
  <si>
    <t>Faire le diagnostic agricole pour les nouvelles provinces PNDA</t>
  </si>
  <si>
    <t>Sous-total sous composante 3.1.</t>
  </si>
  <si>
    <t>Gestion du Projet et Suivi-Evaluation</t>
  </si>
  <si>
    <t>REUNIONS ET ATELIERS</t>
  </si>
  <si>
    <t>3.2.1</t>
  </si>
  <si>
    <t>Préparer la tenue comité de Pilotage et les réunions du CPS et le PTBA</t>
  </si>
  <si>
    <t>3.2.2</t>
  </si>
  <si>
    <t>Réunions du Comité Technique National CTN</t>
  </si>
  <si>
    <t>Compte rendu de la réunion</t>
  </si>
  <si>
    <t>3.2.3</t>
  </si>
  <si>
    <t xml:space="preserve">Réunions du Comité Provincial de Coordination et de Suivi </t>
  </si>
  <si>
    <t>3.2.4</t>
  </si>
  <si>
    <t>Organiser la réunion de diffusion du manuel de suivi et évaluation, collecte des données et format rapport à L'UNCP et UPEP</t>
  </si>
  <si>
    <t>Rapport de l'atelier</t>
  </si>
  <si>
    <t>Atelier</t>
  </si>
  <si>
    <t>3.2.5</t>
  </si>
  <si>
    <t>Assurer l'audit financier et comptable 2025</t>
  </si>
  <si>
    <t>3.2.6</t>
  </si>
  <si>
    <t>Former le personnel sur l'utilisation du logiciel de suivi et évaluation à UNCP et UPEP</t>
  </si>
  <si>
    <t>3 sessions assurées</t>
  </si>
  <si>
    <t>3.2.7</t>
  </si>
  <si>
    <t>Organiser l'atelier des restitutions de l'étude de référence dans les provinces et à UNCP</t>
  </si>
  <si>
    <t>3.2.8</t>
  </si>
  <si>
    <t>Supervision des activités des OT par les Coordinations provinciales SNVA</t>
  </si>
  <si>
    <t>3.2.9</t>
  </si>
  <si>
    <t>Accompagnement des MPME impliqués dans la culture du cacao dans la province de la Tshopo</t>
  </si>
  <si>
    <t>3.2.10</t>
  </si>
  <si>
    <t xml:space="preserve">Mettre en œuvre des Plans d'Action de Réinstallation (PAR) </t>
  </si>
  <si>
    <t>3.2.11</t>
  </si>
  <si>
    <t>Mettre en œuvre les actions issues de la stratégie de gestion des savoirs et de communication</t>
  </si>
  <si>
    <t>3.2.12</t>
  </si>
  <si>
    <t>Assurer l'adhésion des groupes cibles aux activités du projet à travers les 9 radio communautaires</t>
  </si>
  <si>
    <t>Total composante 3.</t>
  </si>
  <si>
    <t>TOTAL GENERAL</t>
  </si>
  <si>
    <t>P</t>
  </si>
  <si>
    <t>R</t>
  </si>
  <si>
    <t>TAUX</t>
  </si>
  <si>
    <t>ECARTS</t>
  </si>
  <si>
    <t>VSF recruté</t>
  </si>
  <si>
    <t>Outils produits</t>
  </si>
  <si>
    <t>Bulletins de prix</t>
  </si>
  <si>
    <t>Nbre mission</t>
  </si>
  <si>
    <t>Nbre de champs</t>
  </si>
  <si>
    <t>CGES,PGPP actualisé</t>
  </si>
  <si>
    <t>CPPA et PMPP actualisé</t>
  </si>
  <si>
    <t>PGMO , CPR , actualisé</t>
  </si>
  <si>
    <t>Plan elaboré</t>
  </si>
  <si>
    <t>Plan disseminé</t>
  </si>
  <si>
    <t xml:space="preserve">Dissemination </t>
  </si>
  <si>
    <t>Equipement fournis</t>
  </si>
  <si>
    <t>Mis en ouvre des activités</t>
  </si>
  <si>
    <t>Prestataire VBG recruté</t>
  </si>
  <si>
    <t>OF recrutés</t>
  </si>
  <si>
    <t>Nbre mission réalisés</t>
  </si>
  <si>
    <t>Consultants recrutés</t>
  </si>
  <si>
    <t xml:space="preserve">Nbre d'ateliers </t>
  </si>
  <si>
    <t>TAHMO recruté</t>
  </si>
  <si>
    <t>Protocole Signé</t>
  </si>
  <si>
    <t>Plan de contingence mis à jour</t>
  </si>
  <si>
    <t>Nbbre de sessions</t>
  </si>
  <si>
    <t>Session</t>
  </si>
  <si>
    <t>Appui  PEA</t>
  </si>
  <si>
    <t>Plan de contegence</t>
  </si>
  <si>
    <t>Nbre de mission</t>
  </si>
  <si>
    <t>Nbre de réunion</t>
  </si>
  <si>
    <t>Nbre le pont mo</t>
  </si>
  <si>
    <t xml:space="preserve">Nbre un bac de </t>
  </si>
  <si>
    <t>Bouture disponible KML</t>
  </si>
  <si>
    <t>Commentaires</t>
  </si>
  <si>
    <t>Strategie elaboré</t>
  </si>
  <si>
    <t xml:space="preserve">Nbre en œuvre </t>
  </si>
  <si>
    <t>Nbre PAR actualisé</t>
  </si>
  <si>
    <t>Nbre PAR elaboré</t>
  </si>
  <si>
    <t>Nbre des projets appuyés</t>
  </si>
  <si>
    <t xml:space="preserve">Nbre FPM recrutés </t>
  </si>
  <si>
    <t>Formation assurée</t>
  </si>
  <si>
    <t>SNV TDR CHEZ PAPA LAZARE</t>
  </si>
  <si>
    <t>TDR elaborés</t>
  </si>
  <si>
    <t>TDR AU NIVEAU DE PAPA LAZARE</t>
  </si>
  <si>
    <t>TDR A DEMANDER AU DIRECTEUR PIUS</t>
  </si>
  <si>
    <t>GASPARD</t>
  </si>
  <si>
    <t>TDR disponible il faut mettre l'activité dans le STEP</t>
  </si>
  <si>
    <t>Existe</t>
  </si>
  <si>
    <t>Au niveau des provinces</t>
  </si>
  <si>
    <t>TDR elabore il faut inscrire l'activité dans le STEP</t>
  </si>
  <si>
    <t>ON attend la validation  du EIES</t>
  </si>
  <si>
    <t xml:space="preserve">TDR elaboré </t>
  </si>
  <si>
    <t>Tdr elabore il faut integré dans le STEP</t>
  </si>
  <si>
    <t>TDR a mettre dans le STEP</t>
  </si>
  <si>
    <t>AXE GUNGU mis en veuilleuse</t>
  </si>
  <si>
    <t>Validation de la BM</t>
  </si>
  <si>
    <t>Rapport de restitution pour le 3 provinces</t>
  </si>
  <si>
    <t>Assurée la reunion COPIL</t>
  </si>
  <si>
    <t>Le recrutement est en cours</t>
  </si>
  <si>
    <t>Fonctionnement</t>
  </si>
  <si>
    <t>Contrat signé</t>
  </si>
  <si>
    <t>Les TDR transmis pour examens</t>
  </si>
  <si>
    <t>En attente de l'ANO de la BM</t>
  </si>
  <si>
    <t>Le processus est presqu'à la fin</t>
  </si>
  <si>
    <t>TDR en cours d'elaboration</t>
  </si>
  <si>
    <t>AMI en cours</t>
  </si>
  <si>
    <t>Financer les plans d'affaires des AVEC,OP,MPME</t>
  </si>
  <si>
    <t>En attente de la validation du produit d'assurance elevage</t>
  </si>
  <si>
    <t>Taux</t>
  </si>
  <si>
    <t>Signature du contrat et la mis à disposition des fonds à l'UNOPS</t>
  </si>
  <si>
    <t>Signature du contrat avec CHANIC et mis a disposition des fonds</t>
  </si>
  <si>
    <t>TDR elaboré en attendte de l'ANO</t>
  </si>
  <si>
    <t>Apres la reunion de CPP en septembre avec la BM</t>
  </si>
  <si>
    <t>TDR en attente de l'ANO</t>
  </si>
  <si>
    <t>En attente de l'elaboration des TDR</t>
  </si>
  <si>
    <t>En cours</t>
  </si>
  <si>
    <t>PPA</t>
  </si>
  <si>
    <t>Reunion</t>
  </si>
  <si>
    <t>Etude</t>
  </si>
  <si>
    <t>Voyage</t>
  </si>
  <si>
    <t>Avec One CGIAR</t>
  </si>
  <si>
    <t xml:space="preserve">Appui </t>
  </si>
  <si>
    <t>En cours à travesr One CGIAR</t>
  </si>
  <si>
    <t>Appui</t>
  </si>
  <si>
    <t>Formation sur le kobocollect</t>
  </si>
  <si>
    <t>Materiels</t>
  </si>
  <si>
    <t>Marché en cours</t>
  </si>
  <si>
    <t>Appui en cours</t>
  </si>
  <si>
    <t>Enquete</t>
  </si>
  <si>
    <t>En attente de la mis a jour du manuel de suivi et evaluation en fonction de la restructuration</t>
  </si>
  <si>
    <t>Rappport de l'audit</t>
  </si>
  <si>
    <t>Mettre en œuvre</t>
  </si>
  <si>
    <t>Avant la mission de supervision</t>
  </si>
  <si>
    <t>En septembre</t>
  </si>
  <si>
    <t>Activites</t>
  </si>
  <si>
    <t>Taux composante 3</t>
  </si>
  <si>
    <t>En attente de l'ANO</t>
  </si>
  <si>
    <t>TAUX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</si>
</sst>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9"/>
      <color rgb="FF000000"/>
      <name val="Bahnschrift SemiLight"/>
      <family val="2"/>
    </font>
    <font>
      <b/>
      <sz val="9"/>
      <color theme="1"/>
      <name val="Bahnschrift SemiLight"/>
      <family val="2"/>
    </font>
    <font>
      <sz val="9"/>
      <color rgb="FF000000"/>
      <name val="Bahnschrift SemiLight"/>
      <family val="2"/>
    </font>
    <font>
      <sz val="9"/>
      <color theme="1"/>
      <name val="Bahnschrift SemiLight"/>
      <family val="2"/>
    </font>
    <font>
      <sz val="12"/>
      <color theme="1"/>
      <name val="Bahnschrift SemiLight"/>
      <family val="2"/>
    </font>
    <font>
      <sz val="12"/>
      <color rgb="FF000000"/>
      <name val="Bahnschrift SemiLight"/>
      <family val="2"/>
    </font>
    <font>
      <sz val="10"/>
      <color rgb="FFEE0000"/>
      <name val="Baskerville Old Face"/>
      <family val="1"/>
    </font>
    <font>
      <sz val="12"/>
      <color theme="1"/>
      <name val="Baskerville Old Face"/>
      <family val="1"/>
    </font>
    <font>
      <sz val="9"/>
      <color rgb="FF000000"/>
      <name val="Baskerville Old Face"/>
      <family val="1"/>
    </font>
    <font>
      <sz val="12"/>
      <color rgb="FF000000"/>
      <name val="Baskerville Old Face"/>
      <family val="1"/>
    </font>
    <font>
      <sz val="12"/>
      <color rgb="FFFF0000"/>
      <name val="Baskerville Old Face"/>
      <family val="1"/>
    </font>
    <font>
      <sz val="9"/>
      <color theme="1"/>
      <name val="Baskerville Old Face"/>
      <family val="1"/>
    </font>
    <font>
      <b/>
      <sz val="9"/>
      <color theme="1"/>
      <name val="Baskerville Old Face"/>
      <family val="1"/>
    </font>
    <font>
      <b/>
      <sz val="12"/>
      <color rgb="FF000000"/>
      <name val="Baskerville Old Face"/>
      <family val="1"/>
    </font>
    <font>
      <b/>
      <sz val="12"/>
      <color theme="1"/>
      <name val="Baskerville Old Face"/>
      <family val="1"/>
    </font>
    <font>
      <b/>
      <sz val="12"/>
      <color rgb="FF000000"/>
      <name val="Bahnschrift SemiLight"/>
      <family val="2"/>
    </font>
    <font>
      <b/>
      <sz val="12"/>
      <color theme="1"/>
      <name val="Bahnschrift SemiLight"/>
      <family val="2"/>
    </font>
    <font>
      <sz val="14"/>
      <color theme="1"/>
      <name val="Baskerville Old Face"/>
      <family val="1"/>
    </font>
    <font>
      <b/>
      <sz val="9"/>
      <color rgb="FF000000"/>
      <name val="Baskerville Old Face"/>
      <family val="1"/>
    </font>
    <font>
      <b/>
      <sz val="14"/>
      <color theme="1"/>
      <name val="Baskerville Old Face"/>
      <family val="1"/>
    </font>
  </fonts>
  <fills count="8">
    <fill>
      <patternFill patternType="none"/>
    </fill>
    <fill>
      <patternFill patternType="gray125"/>
    </fill>
    <fill>
      <patternFill patternType="solid">
        <fgColor rgb="FFE2EFDA"/>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5"/>
        <bgColor indexed="64"/>
      </patternFill>
    </fill>
    <fill>
      <patternFill patternType="solid">
        <fgColor theme="2" tint="-9.9978637043366805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84">
    <xf numFmtId="0" fontId="0" fillId="0" borderId="0" xfId="0"/>
    <xf numFmtId="0" fontId="3" fillId="0" borderId="4" xfId="0" applyFont="1" applyBorder="1" applyAlignment="1">
      <alignment horizontal="center" vertical="center"/>
    </xf>
    <xf numFmtId="0" fontId="3" fillId="0" borderId="5" xfId="0" applyFont="1" applyBorder="1" applyAlignment="1">
      <alignment vertical="center" wrapText="1"/>
    </xf>
    <xf numFmtId="0" fontId="4" fillId="0" borderId="5" xfId="0" applyFont="1" applyBorder="1" applyAlignment="1">
      <alignment vertical="center" wrapText="1"/>
    </xf>
    <xf numFmtId="0" fontId="1" fillId="0" borderId="5" xfId="0" applyFont="1" applyBorder="1" applyAlignment="1">
      <alignment vertical="center" wrapText="1"/>
    </xf>
    <xf numFmtId="0" fontId="4" fillId="0" borderId="4" xfId="0" applyFont="1" applyBorder="1" applyAlignment="1">
      <alignment horizontal="center" vertical="center"/>
    </xf>
    <xf numFmtId="0" fontId="5" fillId="0" borderId="5" xfId="0" applyFont="1" applyBorder="1" applyAlignment="1">
      <alignment vertical="center" wrapText="1"/>
    </xf>
    <xf numFmtId="0" fontId="6" fillId="0" borderId="5" xfId="0" applyFont="1" applyBorder="1" applyAlignment="1">
      <alignment vertical="center" wrapText="1"/>
    </xf>
    <xf numFmtId="0" fontId="1" fillId="3" borderId="5" xfId="0" applyFont="1" applyFill="1" applyBorder="1" applyAlignment="1">
      <alignment vertical="center" wrapText="1"/>
    </xf>
    <xf numFmtId="0" fontId="3" fillId="0" borderId="7" xfId="0" applyFont="1" applyBorder="1" applyAlignment="1">
      <alignment vertical="center" wrapText="1"/>
    </xf>
    <xf numFmtId="0" fontId="7" fillId="0" borderId="4" xfId="0" applyFont="1" applyBorder="1" applyAlignment="1">
      <alignment horizontal="center" vertical="center"/>
    </xf>
    <xf numFmtId="0" fontId="8" fillId="0" borderId="5" xfId="0" applyFont="1" applyBorder="1" applyAlignment="1">
      <alignment vertical="center" wrapText="1"/>
    </xf>
    <xf numFmtId="0" fontId="9" fillId="0" borderId="5" xfId="0" applyFont="1" applyBorder="1" applyAlignment="1">
      <alignment vertical="center" wrapText="1"/>
    </xf>
    <xf numFmtId="0" fontId="10" fillId="0" borderId="5" xfId="0" applyFont="1" applyBorder="1" applyAlignment="1">
      <alignment vertical="center" wrapText="1"/>
    </xf>
    <xf numFmtId="0" fontId="11" fillId="0" borderId="5" xfId="0" applyFont="1" applyBorder="1" applyAlignment="1">
      <alignment vertical="center" wrapText="1"/>
    </xf>
    <xf numFmtId="0" fontId="12" fillId="0" borderId="5" xfId="0" applyFont="1" applyBorder="1" applyAlignment="1">
      <alignment vertical="center" wrapText="1"/>
    </xf>
    <xf numFmtId="0" fontId="14" fillId="2" borderId="1"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0" fillId="0" borderId="4" xfId="0" applyFont="1" applyBorder="1" applyAlignment="1">
      <alignment horizontal="center" vertical="center"/>
    </xf>
    <xf numFmtId="0" fontId="15" fillId="0" borderId="5" xfId="0" applyFont="1" applyBorder="1" applyAlignment="1">
      <alignment vertical="center" wrapText="1"/>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0" fontId="10" fillId="0" borderId="5" xfId="0" applyFont="1" applyBorder="1" applyAlignment="1">
      <alignment horizontal="right" vertical="center" wrapText="1"/>
    </xf>
    <xf numFmtId="0" fontId="8" fillId="4" borderId="5" xfId="0" applyFont="1" applyFill="1" applyBorder="1" applyAlignment="1">
      <alignment vertical="center" wrapText="1"/>
    </xf>
    <xf numFmtId="0" fontId="15" fillId="0" borderId="5" xfId="0" applyFont="1" applyBorder="1" applyAlignment="1">
      <alignment horizontal="center" vertical="center" wrapText="1"/>
    </xf>
    <xf numFmtId="0" fontId="14" fillId="0" borderId="5" xfId="0" applyFont="1" applyBorder="1" applyAlignment="1">
      <alignment vertical="center" wrapText="1"/>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vertical="center" wrapText="1"/>
    </xf>
    <xf numFmtId="0" fontId="8" fillId="0" borderId="4" xfId="0" applyFont="1" applyBorder="1" applyAlignment="1">
      <alignment vertical="center" wrapText="1"/>
    </xf>
    <xf numFmtId="0" fontId="10" fillId="0" borderId="7" xfId="0" applyFont="1" applyBorder="1" applyAlignment="1">
      <alignment vertical="center" wrapText="1"/>
    </xf>
    <xf numFmtId="0" fontId="4" fillId="0" borderId="8" xfId="0" applyFont="1" applyBorder="1" applyAlignment="1">
      <alignment horizontal="center" vertical="center"/>
    </xf>
    <xf numFmtId="0" fontId="2" fillId="0" borderId="8" xfId="0" applyFont="1" applyBorder="1" applyAlignment="1">
      <alignment horizontal="center" vertical="center" wrapText="1"/>
    </xf>
    <xf numFmtId="0" fontId="1" fillId="0" borderId="8" xfId="0" applyFont="1" applyBorder="1" applyAlignment="1">
      <alignment vertical="center" wrapText="1"/>
    </xf>
    <xf numFmtId="0" fontId="16" fillId="0" borderId="5" xfId="0" applyFont="1" applyBorder="1" applyAlignment="1">
      <alignment vertical="center" wrapText="1"/>
    </xf>
    <xf numFmtId="0" fontId="5" fillId="0" borderId="4" xfId="0" applyFont="1" applyBorder="1" applyAlignment="1">
      <alignment horizontal="center" vertical="center"/>
    </xf>
    <xf numFmtId="0" fontId="17" fillId="0" borderId="5" xfId="0" applyFont="1" applyBorder="1" applyAlignment="1">
      <alignment horizontal="center" vertical="center" wrapText="1"/>
    </xf>
    <xf numFmtId="0" fontId="17" fillId="0" borderId="5" xfId="0" applyFont="1" applyBorder="1" applyAlignment="1">
      <alignment vertical="center" wrapText="1"/>
    </xf>
    <xf numFmtId="0" fontId="6" fillId="0" borderId="4" xfId="0" applyFont="1" applyBorder="1" applyAlignment="1">
      <alignment horizontal="center" vertical="center"/>
    </xf>
    <xf numFmtId="0" fontId="16" fillId="3" borderId="5" xfId="0" applyFont="1" applyFill="1" applyBorder="1" applyAlignment="1">
      <alignment horizontal="center" vertical="center" wrapText="1"/>
    </xf>
    <xf numFmtId="0" fontId="8" fillId="0" borderId="6" xfId="0" applyFont="1" applyBorder="1" applyAlignment="1">
      <alignment vertical="center" wrapText="1"/>
    </xf>
    <xf numFmtId="0" fontId="12" fillId="0" borderId="6" xfId="0" applyFont="1" applyBorder="1" applyAlignment="1">
      <alignment vertical="center" wrapText="1"/>
    </xf>
    <xf numFmtId="0" fontId="10" fillId="4" borderId="5" xfId="0" applyFont="1" applyFill="1" applyBorder="1" applyAlignment="1">
      <alignment vertical="center" wrapText="1"/>
    </xf>
    <xf numFmtId="0" fontId="18" fillId="0" borderId="5" xfId="0" applyFont="1" applyBorder="1" applyAlignment="1">
      <alignment vertical="center" wrapText="1"/>
    </xf>
    <xf numFmtId="0" fontId="5" fillId="4" borderId="5" xfId="0" applyFont="1" applyFill="1" applyBorder="1" applyAlignment="1">
      <alignment vertical="center" wrapText="1"/>
    </xf>
    <xf numFmtId="0" fontId="16" fillId="5" borderId="5" xfId="0" applyFont="1" applyFill="1" applyBorder="1" applyAlignment="1">
      <alignment horizontal="center" vertical="center" wrapText="1"/>
    </xf>
    <xf numFmtId="0" fontId="1" fillId="5" borderId="5" xfId="0" applyFont="1" applyFill="1" applyBorder="1" applyAlignment="1">
      <alignment vertical="center" wrapText="1"/>
    </xf>
    <xf numFmtId="0" fontId="15" fillId="4" borderId="5" xfId="0" applyFont="1" applyFill="1" applyBorder="1"/>
    <xf numFmtId="0" fontId="19" fillId="4" borderId="5" xfId="0" applyFont="1" applyFill="1" applyBorder="1" applyAlignment="1">
      <alignment vertical="center" wrapText="1"/>
    </xf>
    <xf numFmtId="0" fontId="14" fillId="4" borderId="5" xfId="0" applyFont="1" applyFill="1" applyBorder="1" applyAlignment="1">
      <alignment vertical="center" wrapText="1"/>
    </xf>
    <xf numFmtId="0" fontId="15" fillId="4" borderId="5" xfId="0" applyFont="1" applyFill="1" applyBorder="1" applyAlignment="1">
      <alignment horizontal="center" vertical="center" wrapText="1"/>
    </xf>
    <xf numFmtId="0" fontId="16" fillId="4" borderId="5" xfId="0" applyFont="1" applyFill="1" applyBorder="1" applyAlignment="1">
      <alignment vertical="center" wrapText="1"/>
    </xf>
    <xf numFmtId="1" fontId="16" fillId="4" borderId="5" xfId="0" applyNumberFormat="1" applyFont="1" applyFill="1" applyBorder="1" applyAlignment="1">
      <alignment vertical="center" wrapText="1"/>
    </xf>
    <xf numFmtId="1" fontId="19" fillId="4" borderId="5" xfId="0" applyNumberFormat="1" applyFont="1" applyFill="1" applyBorder="1" applyAlignment="1">
      <alignment vertical="center" wrapText="1"/>
    </xf>
    <xf numFmtId="1" fontId="14" fillId="0" borderId="5" xfId="0" applyNumberFormat="1" applyFont="1" applyBorder="1" applyAlignment="1">
      <alignment vertical="center" wrapText="1"/>
    </xf>
    <xf numFmtId="1" fontId="16" fillId="0" borderId="5" xfId="0" applyNumberFormat="1" applyFont="1" applyBorder="1" applyAlignment="1">
      <alignment vertical="center" wrapText="1"/>
    </xf>
    <xf numFmtId="0" fontId="17" fillId="4" borderId="5" xfId="0" applyFont="1" applyFill="1" applyBorder="1" applyAlignment="1">
      <alignment horizontal="center" vertical="center" wrapText="1"/>
    </xf>
    <xf numFmtId="0" fontId="20" fillId="4" borderId="5" xfId="0" applyFont="1" applyFill="1" applyBorder="1" applyAlignment="1">
      <alignment vertical="center" wrapText="1"/>
    </xf>
    <xf numFmtId="1" fontId="20" fillId="4" borderId="5" xfId="0" applyNumberFormat="1" applyFont="1" applyFill="1" applyBorder="1" applyAlignment="1">
      <alignment vertical="center" wrapText="1"/>
    </xf>
    <xf numFmtId="0" fontId="15" fillId="4" borderId="5" xfId="0" applyFont="1" applyFill="1" applyBorder="1" applyAlignment="1">
      <alignment vertical="center" wrapText="1"/>
    </xf>
    <xf numFmtId="0" fontId="8" fillId="0" borderId="9" xfId="0" applyFont="1" applyBorder="1" applyAlignment="1">
      <alignment horizontal="center" vertical="center"/>
    </xf>
    <xf numFmtId="0" fontId="8" fillId="4" borderId="10" xfId="0" applyFont="1" applyFill="1" applyBorder="1" applyAlignment="1">
      <alignment vertical="center" wrapText="1"/>
    </xf>
    <xf numFmtId="0" fontId="8" fillId="0" borderId="10" xfId="0" applyFont="1" applyBorder="1" applyAlignment="1">
      <alignment vertical="center" wrapText="1"/>
    </xf>
    <xf numFmtId="0" fontId="10" fillId="0" borderId="10" xfId="0" applyFont="1" applyBorder="1" applyAlignment="1">
      <alignment vertical="center" wrapText="1"/>
    </xf>
    <xf numFmtId="0" fontId="12" fillId="0" borderId="10" xfId="0" applyFont="1" applyBorder="1" applyAlignment="1">
      <alignment vertical="center" wrapText="1"/>
    </xf>
    <xf numFmtId="0" fontId="15" fillId="0" borderId="8" xfId="0" applyFont="1" applyBorder="1" applyAlignment="1">
      <alignment vertical="center" wrapText="1"/>
    </xf>
    <xf numFmtId="0" fontId="13" fillId="0" borderId="8" xfId="0" applyFont="1" applyBorder="1" applyAlignment="1">
      <alignment vertical="center" wrapText="1"/>
    </xf>
    <xf numFmtId="0" fontId="0" fillId="0" borderId="8" xfId="0" applyBorder="1"/>
    <xf numFmtId="0" fontId="0" fillId="0" borderId="11" xfId="0" applyBorder="1"/>
    <xf numFmtId="0" fontId="8" fillId="0" borderId="8" xfId="0" applyFont="1" applyBorder="1" applyAlignment="1">
      <alignment horizontal="center" vertical="center"/>
    </xf>
    <xf numFmtId="0" fontId="15" fillId="0" borderId="8" xfId="0" applyFont="1" applyBorder="1" applyAlignment="1">
      <alignment horizontal="center" vertical="center" wrapText="1"/>
    </xf>
    <xf numFmtId="0" fontId="15" fillId="4" borderId="8" xfId="0" applyFont="1" applyFill="1" applyBorder="1" applyAlignment="1">
      <alignment horizontal="center" vertical="center" wrapText="1"/>
    </xf>
    <xf numFmtId="0" fontId="15" fillId="4" borderId="8" xfId="0" applyFont="1" applyFill="1" applyBorder="1" applyAlignment="1">
      <alignment vertical="center" wrapText="1"/>
    </xf>
    <xf numFmtId="1" fontId="15" fillId="4" borderId="8" xfId="0" applyNumberFormat="1" applyFont="1" applyFill="1" applyBorder="1" applyAlignment="1">
      <alignment vertical="center" wrapText="1"/>
    </xf>
    <xf numFmtId="0" fontId="15" fillId="5" borderId="5" xfId="0" applyFont="1" applyFill="1" applyBorder="1" applyAlignment="1">
      <alignment vertical="center" wrapText="1"/>
    </xf>
    <xf numFmtId="0" fontId="20" fillId="5" borderId="5" xfId="0" applyFont="1" applyFill="1" applyBorder="1" applyAlignment="1">
      <alignment vertical="center" wrapText="1"/>
    </xf>
    <xf numFmtId="1" fontId="20" fillId="5" borderId="5" xfId="0" applyNumberFormat="1" applyFont="1" applyFill="1" applyBorder="1" applyAlignment="1">
      <alignment vertical="center" wrapText="1"/>
    </xf>
    <xf numFmtId="0" fontId="3" fillId="6" borderId="5" xfId="0" applyFont="1" applyFill="1" applyBorder="1" applyAlignment="1">
      <alignment vertical="center" wrapText="1"/>
    </xf>
    <xf numFmtId="0" fontId="16" fillId="6" borderId="5" xfId="0" applyFont="1" applyFill="1" applyBorder="1" applyAlignment="1">
      <alignment vertical="center" wrapText="1"/>
    </xf>
    <xf numFmtId="0" fontId="15" fillId="6" borderId="8" xfId="0" applyFont="1" applyFill="1" applyBorder="1" applyAlignment="1">
      <alignment vertical="center" wrapText="1"/>
    </xf>
    <xf numFmtId="0" fontId="18" fillId="6" borderId="5" xfId="0" applyFont="1" applyFill="1" applyBorder="1" applyAlignment="1">
      <alignment vertical="center" wrapText="1"/>
    </xf>
    <xf numFmtId="0" fontId="20" fillId="7" borderId="5"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784860</xdr:colOff>
      <xdr:row>68</xdr:row>
      <xdr:rowOff>99060</xdr:rowOff>
    </xdr:from>
    <xdr:to>
      <xdr:col>2</xdr:col>
      <xdr:colOff>0</xdr:colOff>
      <xdr:row>68</xdr:row>
      <xdr:rowOff>129540</xdr:rowOff>
    </xdr:to>
    <xdr:sp macro="" textlink="">
      <xdr:nvSpPr>
        <xdr:cNvPr id="1029" name="Encre 7">
          <a:extLst>
            <a:ext uri="{FF2B5EF4-FFF2-40B4-BE49-F238E27FC236}">
              <a16:creationId xmlns:a16="http://schemas.microsoft.com/office/drawing/2014/main" id="{83258E77-1985-E642-DA8A-5281A8463B57}"/>
            </a:ext>
          </a:extLst>
        </xdr:cNvPr>
        <xdr:cNvSpPr>
          <a:spLocks noRot="1" noChangeAspect="1" noEditPoints="1" noChangeArrowheads="1" noChangeShapeType="1" noTextEdit="1"/>
        </xdr:cNvSpPr>
      </xdr:nvSpPr>
      <xdr:spPr bwMode="auto">
        <a:xfrm>
          <a:off x="1577340" y="79606140"/>
          <a:ext cx="15240" cy="30480"/>
        </a:xfrm>
        <a:prstGeom prst="rect">
          <a:avLst/>
        </a:prstGeom>
        <a:noFill/>
        <a:ln w="9000" cap="rnd" algn="ctr">
          <a:solidFill>
            <a:srgbClr val="000000"/>
          </a:solidFill>
          <a:miter lim="800000"/>
          <a:headEnd/>
          <a:tailEnd/>
        </a:ln>
        <a:extLst>
          <a:ext uri="{909E8E84-426E-40DD-AFC4-6F175D3DCCD1}">
            <a14:hiddenFill xmlns:a14="http://schemas.microsoft.com/office/drawing/2010/main">
              <a:noFill/>
            </a14:hiddenFill>
          </a:ext>
        </a:extLst>
      </xdr:spPr>
    </xdr:sp>
    <xdr:clientData/>
  </xdr:twoCellAnchor>
  <xdr:twoCellAnchor editAs="oneCell">
    <xdr:from>
      <xdr:col>8</xdr:col>
      <xdr:colOff>664440</xdr:colOff>
      <xdr:row>126</xdr:row>
      <xdr:rowOff>185880</xdr:rowOff>
    </xdr:from>
    <xdr:to>
      <xdr:col>8</xdr:col>
      <xdr:colOff>664800</xdr:colOff>
      <xdr:row>126</xdr:row>
      <xdr:rowOff>186240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cre 1">
              <a:extLst>
                <a:ext uri="{FF2B5EF4-FFF2-40B4-BE49-F238E27FC236}">
                  <a16:creationId xmlns:a16="http://schemas.microsoft.com/office/drawing/2014/main" id="{982B26EB-0CDD-3898-A822-445BB9F7BA70}"/>
                </a:ext>
              </a:extLst>
            </xdr14:cNvPr>
            <xdr14:cNvContentPartPr/>
          </xdr14:nvContentPartPr>
          <xdr14:nvPr macro=""/>
          <xdr14:xfrm>
            <a:off x="12521160" y="51049380"/>
            <a:ext cx="360" cy="360"/>
          </xdr14:xfrm>
        </xdr:contentPart>
      </mc:Choice>
      <mc:Fallback xmlns="">
        <xdr:pic>
          <xdr:nvPicPr>
            <xdr:cNvPr id="2" name="Encre 1">
              <a:extLst>
                <a:ext uri="{FF2B5EF4-FFF2-40B4-BE49-F238E27FC236}">
                  <a16:creationId xmlns:a16="http://schemas.microsoft.com/office/drawing/2014/main" id="{982B26EB-0CDD-3898-A822-445BB9F7BA70}"/>
                </a:ext>
              </a:extLst>
            </xdr:cNvPr>
            <xdr:cNvPicPr/>
          </xdr:nvPicPr>
          <xdr:blipFill>
            <a:blip xmlns:r="http://schemas.openxmlformats.org/officeDocument/2006/relationships" r:embed="rId2"/>
            <a:stretch>
              <a:fillRect/>
            </a:stretch>
          </xdr:blipFill>
          <xdr:spPr>
            <a:xfrm>
              <a:off x="12516840" y="51045060"/>
              <a:ext cx="9000" cy="9000"/>
            </a:xfrm>
            <a:prstGeom prst="rect">
              <a:avLst/>
            </a:prstGeom>
          </xdr:spPr>
        </xdr:pic>
      </mc:Fallback>
    </mc:AlternateContent>
    <xdr:clientData/>
  </xdr:twoCellAnchor>
  <xdr:twoCellAnchor editAs="oneCell">
    <xdr:from>
      <xdr:col>9</xdr:col>
      <xdr:colOff>756120</xdr:colOff>
      <xdr:row>75</xdr:row>
      <xdr:rowOff>152820</xdr:rowOff>
    </xdr:from>
    <xdr:to>
      <xdr:col>9</xdr:col>
      <xdr:colOff>756480</xdr:colOff>
      <xdr:row>75</xdr:row>
      <xdr:rowOff>153180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Encre 2">
              <a:extLst>
                <a:ext uri="{FF2B5EF4-FFF2-40B4-BE49-F238E27FC236}">
                  <a16:creationId xmlns:a16="http://schemas.microsoft.com/office/drawing/2014/main" id="{CD967D64-AD29-7F4E-4858-439AD9FFD4DB}"/>
                </a:ext>
              </a:extLst>
            </xdr14:cNvPr>
            <xdr14:cNvContentPartPr/>
          </xdr14:nvContentPartPr>
          <xdr14:nvPr macro=""/>
          <xdr14:xfrm>
            <a:off x="13405320" y="31105260"/>
            <a:ext cx="360" cy="360"/>
          </xdr14:xfrm>
        </xdr:contentPart>
      </mc:Choice>
      <mc:Fallback xmlns="">
        <xdr:pic>
          <xdr:nvPicPr>
            <xdr:cNvPr id="3" name="Encre 2">
              <a:extLst>
                <a:ext uri="{FF2B5EF4-FFF2-40B4-BE49-F238E27FC236}">
                  <a16:creationId xmlns:a16="http://schemas.microsoft.com/office/drawing/2014/main" id="{CD967D64-AD29-7F4E-4858-439AD9FFD4DB}"/>
                </a:ext>
              </a:extLst>
            </xdr:cNvPr>
            <xdr:cNvPicPr/>
          </xdr:nvPicPr>
          <xdr:blipFill>
            <a:blip xmlns:r="http://schemas.openxmlformats.org/officeDocument/2006/relationships" r:embed="rId4"/>
            <a:stretch>
              <a:fillRect/>
            </a:stretch>
          </xdr:blipFill>
          <xdr:spPr>
            <a:xfrm>
              <a:off x="13399200" y="3109914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8-10T06:00:17.846"/>
    </inkml:context>
    <inkml:brush xml:id="br0">
      <inkml:brushProperty name="width" value="0.025" units="cm"/>
      <inkml:brushProperty name="height" value="0.025" units="cm"/>
    </inkml:brush>
  </inkml:definitions>
  <inkml:trace contextRef="#ctx0" brushRef="#br0">0 0 18087 0 0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8-10T06:17:21.921"/>
    </inkml:context>
    <inkml:brush xml:id="br0">
      <inkml:brushProperty name="width" value="0.035" units="cm"/>
      <inkml:brushProperty name="height" value="0.035" units="cm"/>
    </inkml:brush>
  </inkml:definitions>
  <inkml:trace contextRef="#ctx0" brushRef="#br0">0 0 16783 0 0</inkml:trace>
</inkm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F8905-105F-464C-8B01-632F4FFF13DD}">
  <dimension ref="A2:I140"/>
  <sheetViews>
    <sheetView tabSelected="1" workbookViewId="0">
      <selection activeCell="F63" sqref="F63"/>
    </sheetView>
  </sheetViews>
  <sheetFormatPr baseColWidth="10" defaultRowHeight="14.4" x14ac:dyDescent="0.3"/>
  <cols>
    <col min="2" max="2" width="43.6640625" customWidth="1"/>
    <col min="3" max="3" width="19.109375" customWidth="1"/>
    <col min="4" max="4" width="15.44140625" customWidth="1"/>
    <col min="5" max="5" width="13.21875" customWidth="1"/>
    <col min="6" max="6" width="14.5546875" bestFit="1" customWidth="1"/>
    <col min="8" max="8" width="43.77734375" customWidth="1"/>
  </cols>
  <sheetData>
    <row r="2" spans="1:8" ht="15" thickBot="1" x14ac:dyDescent="0.35"/>
    <row r="3" spans="1:8" ht="31.8" thickBot="1" x14ac:dyDescent="0.35">
      <c r="A3" s="16" t="s">
        <v>0</v>
      </c>
      <c r="B3" s="17" t="s">
        <v>1</v>
      </c>
      <c r="C3" s="17" t="s">
        <v>2</v>
      </c>
      <c r="D3" s="18" t="s">
        <v>250</v>
      </c>
      <c r="E3" s="19" t="s">
        <v>251</v>
      </c>
      <c r="F3" s="19" t="s">
        <v>252</v>
      </c>
      <c r="G3" s="19" t="s">
        <v>253</v>
      </c>
      <c r="H3" s="19" t="s">
        <v>284</v>
      </c>
    </row>
    <row r="4" spans="1:8" ht="16.2" thickBot="1" x14ac:dyDescent="0.35">
      <c r="A4" s="20"/>
      <c r="B4" s="21" t="s">
        <v>3</v>
      </c>
      <c r="C4" s="13"/>
      <c r="D4" s="13"/>
      <c r="E4" s="13"/>
      <c r="F4" s="13"/>
      <c r="G4" s="13"/>
      <c r="H4" s="13"/>
    </row>
    <row r="5" spans="1:8" ht="31.8" thickBot="1" x14ac:dyDescent="0.35">
      <c r="A5" s="20" t="s">
        <v>4</v>
      </c>
      <c r="B5" s="11" t="s">
        <v>5</v>
      </c>
      <c r="C5" s="13" t="s">
        <v>6</v>
      </c>
      <c r="D5" s="13">
        <v>1</v>
      </c>
      <c r="E5" s="13">
        <v>1</v>
      </c>
      <c r="F5" s="13">
        <f>+E5/D5*100</f>
        <v>100</v>
      </c>
      <c r="G5" s="13">
        <f>+E5-D5</f>
        <v>0</v>
      </c>
      <c r="H5" s="13"/>
    </row>
    <row r="6" spans="1:8" ht="31.8" thickBot="1" x14ac:dyDescent="0.35">
      <c r="A6" s="20" t="s">
        <v>7</v>
      </c>
      <c r="B6" s="11" t="s">
        <v>8</v>
      </c>
      <c r="C6" s="13" t="s">
        <v>6</v>
      </c>
      <c r="D6" s="13">
        <v>1</v>
      </c>
      <c r="E6" s="13">
        <v>1</v>
      </c>
      <c r="F6" s="13">
        <f t="shared" ref="F6:F31" si="0">+E6/D6*100</f>
        <v>100</v>
      </c>
      <c r="G6" s="13">
        <f t="shared" ref="G6:G31" si="1">+E6-D6</f>
        <v>0</v>
      </c>
      <c r="H6" s="13"/>
    </row>
    <row r="7" spans="1:8" ht="31.8" thickBot="1" x14ac:dyDescent="0.35">
      <c r="A7" s="20" t="s">
        <v>9</v>
      </c>
      <c r="B7" s="11" t="s">
        <v>10</v>
      </c>
      <c r="C7" s="13" t="s">
        <v>6</v>
      </c>
      <c r="D7" s="13">
        <v>1</v>
      </c>
      <c r="E7" s="13">
        <v>1</v>
      </c>
      <c r="F7" s="13">
        <f t="shared" si="0"/>
        <v>100</v>
      </c>
      <c r="G7" s="13">
        <f t="shared" si="1"/>
        <v>0</v>
      </c>
      <c r="H7" s="13"/>
    </row>
    <row r="8" spans="1:8" ht="31.8" thickBot="1" x14ac:dyDescent="0.35">
      <c r="A8" s="20" t="s">
        <v>11</v>
      </c>
      <c r="B8" s="11" t="s">
        <v>12</v>
      </c>
      <c r="C8" s="13" t="s">
        <v>6</v>
      </c>
      <c r="D8" s="13">
        <v>1</v>
      </c>
      <c r="E8" s="13">
        <v>0</v>
      </c>
      <c r="F8" s="13">
        <f t="shared" si="0"/>
        <v>0</v>
      </c>
      <c r="G8" s="13">
        <f t="shared" si="1"/>
        <v>-1</v>
      </c>
      <c r="H8" s="13"/>
    </row>
    <row r="9" spans="1:8" ht="31.8" thickBot="1" x14ac:dyDescent="0.35">
      <c r="A9" s="20" t="s">
        <v>13</v>
      </c>
      <c r="B9" s="11" t="s">
        <v>14</v>
      </c>
      <c r="C9" s="13" t="s">
        <v>15</v>
      </c>
      <c r="D9" s="13">
        <v>1</v>
      </c>
      <c r="E9" s="13">
        <v>1</v>
      </c>
      <c r="F9" s="13">
        <f t="shared" si="0"/>
        <v>100</v>
      </c>
      <c r="G9" s="13">
        <f t="shared" si="1"/>
        <v>0</v>
      </c>
      <c r="H9" s="13"/>
    </row>
    <row r="10" spans="1:8" ht="31.8" thickBot="1" x14ac:dyDescent="0.35">
      <c r="A10" s="20" t="s">
        <v>16</v>
      </c>
      <c r="B10" s="11" t="s">
        <v>17</v>
      </c>
      <c r="C10" s="13" t="s">
        <v>254</v>
      </c>
      <c r="D10" s="13">
        <v>1</v>
      </c>
      <c r="E10" s="13">
        <v>1</v>
      </c>
      <c r="F10" s="13">
        <f t="shared" si="0"/>
        <v>100</v>
      </c>
      <c r="G10" s="13">
        <f t="shared" si="1"/>
        <v>0</v>
      </c>
      <c r="H10" s="13"/>
    </row>
    <row r="11" spans="1:8" ht="16.2" thickBot="1" x14ac:dyDescent="0.35">
      <c r="A11" s="20" t="s">
        <v>18</v>
      </c>
      <c r="B11" s="11" t="s">
        <v>19</v>
      </c>
      <c r="C11" s="13"/>
      <c r="D11" s="13">
        <v>3</v>
      </c>
      <c r="E11" s="13">
        <v>3</v>
      </c>
      <c r="F11" s="13">
        <f t="shared" si="0"/>
        <v>100</v>
      </c>
      <c r="G11" s="13">
        <f t="shared" si="1"/>
        <v>0</v>
      </c>
      <c r="H11" s="13"/>
    </row>
    <row r="12" spans="1:8" ht="47.4" thickBot="1" x14ac:dyDescent="0.35">
      <c r="A12" s="20" t="s">
        <v>20</v>
      </c>
      <c r="B12" s="11" t="s">
        <v>21</v>
      </c>
      <c r="C12" s="13" t="s">
        <v>255</v>
      </c>
      <c r="D12" s="13">
        <v>1</v>
      </c>
      <c r="E12" s="13">
        <v>1</v>
      </c>
      <c r="F12" s="13">
        <f t="shared" si="0"/>
        <v>100</v>
      </c>
      <c r="G12" s="13">
        <f t="shared" si="1"/>
        <v>0</v>
      </c>
      <c r="H12" s="13"/>
    </row>
    <row r="13" spans="1:8" ht="16.2" thickBot="1" x14ac:dyDescent="0.35">
      <c r="A13" s="20" t="s">
        <v>22</v>
      </c>
      <c r="B13" s="11" t="s">
        <v>23</v>
      </c>
      <c r="C13" s="13" t="s">
        <v>256</v>
      </c>
      <c r="D13" s="13">
        <v>12</v>
      </c>
      <c r="E13" s="13">
        <v>0</v>
      </c>
      <c r="F13" s="13">
        <f t="shared" si="0"/>
        <v>0</v>
      </c>
      <c r="G13" s="13">
        <f t="shared" si="1"/>
        <v>-12</v>
      </c>
      <c r="H13" s="44" t="s">
        <v>292</v>
      </c>
    </row>
    <row r="14" spans="1:8" ht="16.2" thickBot="1" x14ac:dyDescent="0.35">
      <c r="A14" s="20" t="s">
        <v>24</v>
      </c>
      <c r="B14" s="11" t="s">
        <v>25</v>
      </c>
      <c r="C14" s="13" t="s">
        <v>257</v>
      </c>
      <c r="D14" s="13">
        <v>4</v>
      </c>
      <c r="E14" s="13">
        <v>2</v>
      </c>
      <c r="F14" s="13">
        <f t="shared" si="0"/>
        <v>50</v>
      </c>
      <c r="G14" s="13">
        <f t="shared" si="1"/>
        <v>-2</v>
      </c>
      <c r="H14" s="13"/>
    </row>
    <row r="15" spans="1:8" ht="31.8" thickBot="1" x14ac:dyDescent="0.35">
      <c r="A15" s="20" t="s">
        <v>26</v>
      </c>
      <c r="B15" s="11" t="s">
        <v>27</v>
      </c>
      <c r="C15" s="13" t="s">
        <v>28</v>
      </c>
      <c r="D15" s="13">
        <v>4</v>
      </c>
      <c r="E15" s="13">
        <v>2</v>
      </c>
      <c r="F15" s="13">
        <f t="shared" si="0"/>
        <v>50</v>
      </c>
      <c r="G15" s="13">
        <f t="shared" si="1"/>
        <v>-2</v>
      </c>
      <c r="H15" s="13"/>
    </row>
    <row r="16" spans="1:8" ht="31.8" thickBot="1" x14ac:dyDescent="0.35">
      <c r="A16" s="20" t="s">
        <v>29</v>
      </c>
      <c r="B16" s="11" t="s">
        <v>30</v>
      </c>
      <c r="C16" s="13" t="s">
        <v>28</v>
      </c>
      <c r="D16" s="13">
        <v>3</v>
      </c>
      <c r="E16" s="13">
        <v>1</v>
      </c>
      <c r="F16" s="13">
        <f t="shared" si="0"/>
        <v>33.333333333333329</v>
      </c>
      <c r="G16" s="13">
        <f t="shared" si="1"/>
        <v>-2</v>
      </c>
      <c r="H16" s="13"/>
    </row>
    <row r="17" spans="1:8" ht="16.2" thickBot="1" x14ac:dyDescent="0.35">
      <c r="A17" s="20" t="s">
        <v>31</v>
      </c>
      <c r="B17" s="11" t="s">
        <v>32</v>
      </c>
      <c r="C17" s="13" t="s">
        <v>311</v>
      </c>
      <c r="D17" s="13">
        <v>1</v>
      </c>
      <c r="E17" s="13">
        <v>1</v>
      </c>
      <c r="F17" s="13">
        <f t="shared" si="0"/>
        <v>100</v>
      </c>
      <c r="G17" s="13">
        <f t="shared" si="1"/>
        <v>0</v>
      </c>
      <c r="H17" s="13"/>
    </row>
    <row r="18" spans="1:8" ht="47.4" thickBot="1" x14ac:dyDescent="0.35">
      <c r="A18" s="20" t="s">
        <v>33</v>
      </c>
      <c r="B18" s="11" t="s">
        <v>34</v>
      </c>
      <c r="C18" s="13" t="s">
        <v>283</v>
      </c>
      <c r="D18" s="13">
        <v>154</v>
      </c>
      <c r="E18" s="13">
        <v>154</v>
      </c>
      <c r="F18" s="13">
        <f t="shared" si="0"/>
        <v>100</v>
      </c>
      <c r="G18" s="13">
        <f t="shared" si="1"/>
        <v>0</v>
      </c>
      <c r="H18" s="13"/>
    </row>
    <row r="19" spans="1:8" ht="47.4" thickBot="1" x14ac:dyDescent="0.35">
      <c r="A19" s="20" t="s">
        <v>35</v>
      </c>
      <c r="B19" s="11" t="s">
        <v>36</v>
      </c>
      <c r="C19" s="13" t="s">
        <v>257</v>
      </c>
      <c r="D19" s="13">
        <v>4</v>
      </c>
      <c r="E19" s="13">
        <v>2</v>
      </c>
      <c r="F19" s="13">
        <f t="shared" si="0"/>
        <v>50</v>
      </c>
      <c r="G19" s="13">
        <f t="shared" si="1"/>
        <v>-2</v>
      </c>
      <c r="H19" s="13"/>
    </row>
    <row r="20" spans="1:8" ht="31.8" thickBot="1" x14ac:dyDescent="0.35">
      <c r="A20" s="20" t="s">
        <v>37</v>
      </c>
      <c r="B20" s="13" t="s">
        <v>38</v>
      </c>
      <c r="C20" s="22" t="s">
        <v>258</v>
      </c>
      <c r="D20" s="24">
        <v>2</v>
      </c>
      <c r="E20" s="24">
        <v>0</v>
      </c>
      <c r="F20" s="13">
        <f t="shared" si="0"/>
        <v>0</v>
      </c>
      <c r="G20" s="13">
        <f t="shared" si="1"/>
        <v>-2</v>
      </c>
      <c r="H20" s="23" t="s">
        <v>312</v>
      </c>
    </row>
    <row r="21" spans="1:8" ht="31.8" thickBot="1" x14ac:dyDescent="0.35">
      <c r="A21" s="20" t="s">
        <v>39</v>
      </c>
      <c r="B21" s="25" t="s">
        <v>40</v>
      </c>
      <c r="C21" s="13" t="s">
        <v>259</v>
      </c>
      <c r="D21" s="13">
        <v>2</v>
      </c>
      <c r="E21" s="13">
        <v>2</v>
      </c>
      <c r="F21" s="13">
        <f t="shared" si="0"/>
        <v>100</v>
      </c>
      <c r="G21" s="13">
        <f t="shared" si="1"/>
        <v>0</v>
      </c>
      <c r="H21" s="13" t="s">
        <v>297</v>
      </c>
    </row>
    <row r="22" spans="1:8" ht="31.8" thickBot="1" x14ac:dyDescent="0.35">
      <c r="A22" s="20" t="s">
        <v>41</v>
      </c>
      <c r="B22" s="25" t="s">
        <v>42</v>
      </c>
      <c r="C22" s="11" t="s">
        <v>260</v>
      </c>
      <c r="D22" s="13">
        <v>2</v>
      </c>
      <c r="E22" s="13">
        <v>2</v>
      </c>
      <c r="F22" s="13">
        <f t="shared" si="0"/>
        <v>100</v>
      </c>
      <c r="G22" s="13">
        <f t="shared" si="1"/>
        <v>0</v>
      </c>
      <c r="H22" s="13"/>
    </row>
    <row r="23" spans="1:8" ht="31.8" thickBot="1" x14ac:dyDescent="0.35">
      <c r="A23" s="20" t="s">
        <v>43</v>
      </c>
      <c r="B23" s="25" t="s">
        <v>44</v>
      </c>
      <c r="C23" s="11" t="s">
        <v>261</v>
      </c>
      <c r="D23" s="13">
        <v>2</v>
      </c>
      <c r="E23" s="13">
        <v>2</v>
      </c>
      <c r="F23" s="13">
        <f t="shared" si="0"/>
        <v>100</v>
      </c>
      <c r="G23" s="13">
        <f t="shared" si="1"/>
        <v>0</v>
      </c>
      <c r="H23" s="13"/>
    </row>
    <row r="24" spans="1:8" ht="16.2" thickBot="1" x14ac:dyDescent="0.35">
      <c r="A24" s="20" t="s">
        <v>45</v>
      </c>
      <c r="B24" s="25" t="s">
        <v>46</v>
      </c>
      <c r="C24" s="13" t="s">
        <v>262</v>
      </c>
      <c r="D24" s="13">
        <v>1</v>
      </c>
      <c r="E24" s="13">
        <v>1</v>
      </c>
      <c r="F24" s="13">
        <f t="shared" si="0"/>
        <v>100</v>
      </c>
      <c r="G24" s="13">
        <f t="shared" si="1"/>
        <v>0</v>
      </c>
      <c r="H24" s="13" t="s">
        <v>298</v>
      </c>
    </row>
    <row r="25" spans="1:8" ht="16.2" thickBot="1" x14ac:dyDescent="0.35">
      <c r="A25" s="20" t="s">
        <v>47</v>
      </c>
      <c r="B25" s="11" t="s">
        <v>48</v>
      </c>
      <c r="C25" s="13" t="s">
        <v>263</v>
      </c>
      <c r="D25" s="13">
        <v>1</v>
      </c>
      <c r="E25" s="13">
        <v>1</v>
      </c>
      <c r="F25" s="13">
        <f t="shared" si="0"/>
        <v>100</v>
      </c>
      <c r="G25" s="13">
        <f t="shared" si="1"/>
        <v>0</v>
      </c>
      <c r="H25" s="13"/>
    </row>
    <row r="26" spans="1:8" ht="31.8" thickBot="1" x14ac:dyDescent="0.35">
      <c r="A26" s="20" t="s">
        <v>49</v>
      </c>
      <c r="B26" s="11" t="s">
        <v>50</v>
      </c>
      <c r="C26" s="13" t="s">
        <v>264</v>
      </c>
      <c r="D26" s="13">
        <v>6</v>
      </c>
      <c r="E26" s="13">
        <v>0</v>
      </c>
      <c r="F26" s="13">
        <f t="shared" si="0"/>
        <v>0</v>
      </c>
      <c r="G26" s="13">
        <f t="shared" si="1"/>
        <v>-6</v>
      </c>
      <c r="H26" s="13" t="s">
        <v>313</v>
      </c>
    </row>
    <row r="27" spans="1:8" ht="31.8" thickBot="1" x14ac:dyDescent="0.35">
      <c r="A27" s="20" t="s">
        <v>51</v>
      </c>
      <c r="B27" s="11" t="s">
        <v>52</v>
      </c>
      <c r="C27" s="13" t="s">
        <v>120</v>
      </c>
      <c r="D27" s="13">
        <v>2</v>
      </c>
      <c r="E27" s="13">
        <v>0</v>
      </c>
      <c r="F27" s="13">
        <f t="shared" si="0"/>
        <v>0</v>
      </c>
      <c r="G27" s="13">
        <f t="shared" si="1"/>
        <v>-2</v>
      </c>
      <c r="H27" s="13" t="s">
        <v>313</v>
      </c>
    </row>
    <row r="28" spans="1:8" ht="31.8" thickBot="1" x14ac:dyDescent="0.35">
      <c r="A28" s="20" t="s">
        <v>53</v>
      </c>
      <c r="B28" s="11" t="s">
        <v>54</v>
      </c>
      <c r="C28" s="13"/>
      <c r="D28" s="13">
        <v>1</v>
      </c>
      <c r="E28" s="13">
        <v>0</v>
      </c>
      <c r="F28" s="13">
        <f t="shared" si="0"/>
        <v>0</v>
      </c>
      <c r="G28" s="13">
        <f t="shared" si="1"/>
        <v>-1</v>
      </c>
      <c r="H28" s="13" t="s">
        <v>313</v>
      </c>
    </row>
    <row r="29" spans="1:8" ht="16.2" thickBot="1" x14ac:dyDescent="0.35">
      <c r="A29" s="20" t="s">
        <v>55</v>
      </c>
      <c r="B29" s="11" t="s">
        <v>56</v>
      </c>
      <c r="C29" s="13" t="s">
        <v>265</v>
      </c>
      <c r="D29" s="13">
        <v>1</v>
      </c>
      <c r="E29" s="13">
        <v>1</v>
      </c>
      <c r="F29" s="13">
        <f t="shared" si="0"/>
        <v>100</v>
      </c>
      <c r="G29" s="13">
        <f t="shared" si="1"/>
        <v>0</v>
      </c>
      <c r="H29" s="13" t="s">
        <v>299</v>
      </c>
    </row>
    <row r="30" spans="1:8" ht="31.8" thickBot="1" x14ac:dyDescent="0.35">
      <c r="A30" s="20" t="s">
        <v>57</v>
      </c>
      <c r="B30" s="11" t="s">
        <v>58</v>
      </c>
      <c r="C30" s="13" t="s">
        <v>266</v>
      </c>
      <c r="D30" s="13">
        <v>4</v>
      </c>
      <c r="E30" s="13">
        <v>2</v>
      </c>
      <c r="F30" s="13">
        <f t="shared" si="0"/>
        <v>50</v>
      </c>
      <c r="G30" s="13">
        <f t="shared" si="1"/>
        <v>-2</v>
      </c>
      <c r="H30" s="13"/>
    </row>
    <row r="31" spans="1:8" ht="31.8" thickBot="1" x14ac:dyDescent="0.35">
      <c r="A31" s="20" t="s">
        <v>59</v>
      </c>
      <c r="B31" s="11" t="s">
        <v>60</v>
      </c>
      <c r="C31" s="13" t="s">
        <v>267</v>
      </c>
      <c r="D31" s="13">
        <v>1</v>
      </c>
      <c r="E31" s="13">
        <v>0</v>
      </c>
      <c r="F31" s="13">
        <f t="shared" si="0"/>
        <v>0</v>
      </c>
      <c r="G31" s="13">
        <f t="shared" si="1"/>
        <v>-1</v>
      </c>
      <c r="H31" s="13"/>
    </row>
    <row r="32" spans="1:8" ht="16.2" thickBot="1" x14ac:dyDescent="0.35">
      <c r="A32" s="20"/>
      <c r="B32" s="26" t="s">
        <v>61</v>
      </c>
      <c r="C32" s="27"/>
      <c r="D32" s="27"/>
      <c r="E32" s="27"/>
      <c r="F32" s="56">
        <f>SUM(F5:F31)</f>
        <v>1733.3333333333335</v>
      </c>
      <c r="G32" s="27"/>
      <c r="H32" s="27"/>
    </row>
    <row r="33" spans="1:8" ht="16.2" thickBot="1" x14ac:dyDescent="0.35">
      <c r="A33" s="1"/>
      <c r="B33" s="49" t="s">
        <v>319</v>
      </c>
      <c r="C33" s="50"/>
      <c r="D33" s="50"/>
      <c r="E33" s="50"/>
      <c r="F33" s="55">
        <f>+F32/27</f>
        <v>64.197530864197532</v>
      </c>
      <c r="G33" s="79">
        <v>27</v>
      </c>
      <c r="H33" s="2"/>
    </row>
    <row r="34" spans="1:8" ht="32.4" customHeight="1" thickBot="1" x14ac:dyDescent="0.35">
      <c r="A34" s="28" t="s">
        <v>62</v>
      </c>
      <c r="B34" s="11" t="s">
        <v>63</v>
      </c>
      <c r="C34" s="13" t="s">
        <v>268</v>
      </c>
      <c r="D34" s="13">
        <v>1</v>
      </c>
      <c r="E34" s="2">
        <v>0</v>
      </c>
      <c r="F34" s="2">
        <f>+E34/D34*100</f>
        <v>0</v>
      </c>
      <c r="G34" s="2">
        <f>+E34-D34</f>
        <v>-1</v>
      </c>
      <c r="H34" s="2" t="s">
        <v>314</v>
      </c>
    </row>
    <row r="35" spans="1:8" ht="48.6" customHeight="1" thickBot="1" x14ac:dyDescent="0.35">
      <c r="A35" s="28" t="s">
        <v>64</v>
      </c>
      <c r="B35" s="11" t="s">
        <v>65</v>
      </c>
      <c r="C35" s="13" t="s">
        <v>269</v>
      </c>
      <c r="D35" s="13">
        <v>1</v>
      </c>
      <c r="E35" s="2">
        <v>0</v>
      </c>
      <c r="F35" s="2">
        <f t="shared" ref="F35:F36" si="2">+E35/D35*100</f>
        <v>0</v>
      </c>
      <c r="G35" s="2">
        <f t="shared" ref="G35:G36" si="3">+E35-D35</f>
        <v>-1</v>
      </c>
      <c r="H35" s="2" t="s">
        <v>315</v>
      </c>
    </row>
    <row r="36" spans="1:8" ht="71.400000000000006" customHeight="1" thickBot="1" x14ac:dyDescent="0.35">
      <c r="A36" s="29" t="s">
        <v>66</v>
      </c>
      <c r="B36" s="30" t="s">
        <v>317</v>
      </c>
      <c r="C36" s="32" t="s">
        <v>67</v>
      </c>
      <c r="D36" s="32">
        <v>50</v>
      </c>
      <c r="E36" s="9">
        <v>0</v>
      </c>
      <c r="F36" s="2">
        <f t="shared" si="2"/>
        <v>0</v>
      </c>
      <c r="G36" s="2">
        <f t="shared" si="3"/>
        <v>-50</v>
      </c>
      <c r="H36" s="9" t="s">
        <v>316</v>
      </c>
    </row>
    <row r="37" spans="1:8" x14ac:dyDescent="0.3">
      <c r="A37" s="33"/>
      <c r="B37" s="34" t="s">
        <v>68</v>
      </c>
      <c r="C37" s="35"/>
      <c r="D37" s="35"/>
      <c r="E37" s="35"/>
      <c r="F37" s="35">
        <f>SUM(F34:F36)</f>
        <v>0</v>
      </c>
      <c r="G37" s="35"/>
      <c r="H37" s="35"/>
    </row>
    <row r="38" spans="1:8" ht="16.2" thickBot="1" x14ac:dyDescent="0.35">
      <c r="A38" s="5"/>
      <c r="B38" s="49" t="s">
        <v>319</v>
      </c>
      <c r="C38" s="51"/>
      <c r="D38" s="51"/>
      <c r="E38" s="51"/>
      <c r="F38" s="51">
        <f>+F37/3</f>
        <v>0</v>
      </c>
      <c r="G38" s="79">
        <v>3</v>
      </c>
      <c r="H38" s="2"/>
    </row>
    <row r="39" spans="1:8" ht="31.8" thickBot="1" x14ac:dyDescent="0.35">
      <c r="A39" s="10" t="s">
        <v>69</v>
      </c>
      <c r="B39" s="11" t="s">
        <v>70</v>
      </c>
      <c r="C39" s="13" t="s">
        <v>71</v>
      </c>
      <c r="D39" s="13">
        <v>99659</v>
      </c>
      <c r="E39" s="7">
        <v>99659</v>
      </c>
      <c r="F39" s="7">
        <f>+E39/D39*100</f>
        <v>100</v>
      </c>
      <c r="G39" s="7"/>
      <c r="H39" s="2"/>
    </row>
    <row r="40" spans="1:8" ht="31.8" thickBot="1" x14ac:dyDescent="0.35">
      <c r="A40" s="10" t="s">
        <v>72</v>
      </c>
      <c r="B40" s="13" t="s">
        <v>73</v>
      </c>
      <c r="C40" s="13" t="s">
        <v>270</v>
      </c>
      <c r="D40" s="13">
        <v>8</v>
      </c>
      <c r="E40" s="7">
        <v>0</v>
      </c>
      <c r="F40" s="7">
        <f t="shared" ref="F40:F56" si="4">+E40/D40*100</f>
        <v>0</v>
      </c>
      <c r="G40" s="7"/>
      <c r="H40" s="2" t="s">
        <v>309</v>
      </c>
    </row>
    <row r="41" spans="1:8" ht="47.4" thickBot="1" x14ac:dyDescent="0.35">
      <c r="A41" s="10" t="s">
        <v>74</v>
      </c>
      <c r="B41" s="13" t="s">
        <v>75</v>
      </c>
      <c r="C41" s="13" t="s">
        <v>271</v>
      </c>
      <c r="D41" s="13">
        <v>4</v>
      </c>
      <c r="E41" s="7">
        <v>1</v>
      </c>
      <c r="F41" s="7">
        <f t="shared" si="4"/>
        <v>25</v>
      </c>
      <c r="G41" s="7"/>
      <c r="H41" s="2"/>
    </row>
    <row r="42" spans="1:8" ht="109.8" thickBot="1" x14ac:dyDescent="0.35">
      <c r="A42" s="10" t="s">
        <v>76</v>
      </c>
      <c r="B42" s="13" t="s">
        <v>77</v>
      </c>
      <c r="C42" s="13" t="s">
        <v>272</v>
      </c>
      <c r="D42" s="13">
        <v>1</v>
      </c>
      <c r="E42" s="7">
        <v>0</v>
      </c>
      <c r="F42" s="7">
        <f t="shared" si="4"/>
        <v>0</v>
      </c>
      <c r="G42" s="7"/>
      <c r="H42" s="2"/>
    </row>
    <row r="43" spans="1:8" ht="94.2" thickBot="1" x14ac:dyDescent="0.35">
      <c r="A43" s="10" t="s">
        <v>78</v>
      </c>
      <c r="B43" s="13" t="s">
        <v>79</v>
      </c>
      <c r="C43" s="13" t="s">
        <v>273</v>
      </c>
      <c r="D43" s="13">
        <v>1</v>
      </c>
      <c r="E43" s="7">
        <v>0</v>
      </c>
      <c r="F43" s="7">
        <f t="shared" si="4"/>
        <v>0</v>
      </c>
      <c r="G43" s="7"/>
      <c r="H43" s="2"/>
    </row>
    <row r="44" spans="1:8" ht="94.2" thickBot="1" x14ac:dyDescent="0.35">
      <c r="A44" s="10" t="s">
        <v>80</v>
      </c>
      <c r="B44" s="13" t="s">
        <v>81</v>
      </c>
      <c r="C44" s="13" t="s">
        <v>271</v>
      </c>
      <c r="D44" s="13">
        <v>4</v>
      </c>
      <c r="E44" s="7">
        <v>0</v>
      </c>
      <c r="F44" s="7">
        <f t="shared" si="4"/>
        <v>0</v>
      </c>
      <c r="G44" s="7"/>
      <c r="H44" s="2"/>
    </row>
    <row r="45" spans="1:8" ht="47.4" thickBot="1" x14ac:dyDescent="0.35">
      <c r="A45" s="10" t="s">
        <v>82</v>
      </c>
      <c r="B45" s="13" t="s">
        <v>83</v>
      </c>
      <c r="C45" s="13" t="s">
        <v>274</v>
      </c>
      <c r="D45" s="13">
        <v>1</v>
      </c>
      <c r="E45" s="7">
        <v>0</v>
      </c>
      <c r="F45" s="7">
        <f t="shared" si="4"/>
        <v>0</v>
      </c>
      <c r="G45" s="7"/>
      <c r="H45" s="2"/>
    </row>
    <row r="46" spans="1:8" ht="31.8" thickBot="1" x14ac:dyDescent="0.35">
      <c r="A46" s="10" t="s">
        <v>84</v>
      </c>
      <c r="B46" s="13" t="s">
        <v>85</v>
      </c>
      <c r="C46" s="13" t="s">
        <v>285</v>
      </c>
      <c r="D46" s="13">
        <v>1</v>
      </c>
      <c r="E46" s="7">
        <v>1</v>
      </c>
      <c r="F46" s="7">
        <f t="shared" si="4"/>
        <v>100</v>
      </c>
      <c r="G46" s="7"/>
      <c r="H46" s="2"/>
    </row>
    <row r="47" spans="1:8" ht="47.4" thickBot="1" x14ac:dyDescent="0.35">
      <c r="A47" s="10" t="s">
        <v>86</v>
      </c>
      <c r="B47" s="13" t="s">
        <v>87</v>
      </c>
      <c r="C47" s="13" t="s">
        <v>275</v>
      </c>
      <c r="D47" s="13">
        <v>3</v>
      </c>
      <c r="E47" s="7">
        <v>3</v>
      </c>
      <c r="F47" s="7">
        <f t="shared" si="4"/>
        <v>100</v>
      </c>
      <c r="G47" s="7"/>
      <c r="H47" s="2"/>
    </row>
    <row r="48" spans="1:8" ht="31.8" thickBot="1" x14ac:dyDescent="0.35">
      <c r="A48" s="10" t="s">
        <v>88</v>
      </c>
      <c r="B48" s="13" t="s">
        <v>89</v>
      </c>
      <c r="C48" s="13" t="s">
        <v>120</v>
      </c>
      <c r="D48" s="13">
        <v>1</v>
      </c>
      <c r="E48" s="7">
        <v>0</v>
      </c>
      <c r="F48" s="7">
        <f t="shared" si="4"/>
        <v>0</v>
      </c>
      <c r="G48" s="7"/>
      <c r="H48" s="2"/>
    </row>
    <row r="49" spans="1:8" ht="47.4" thickBot="1" x14ac:dyDescent="0.35">
      <c r="A49" s="10" t="s">
        <v>90</v>
      </c>
      <c r="B49" s="13" t="s">
        <v>91</v>
      </c>
      <c r="C49" s="13" t="s">
        <v>120</v>
      </c>
      <c r="D49" s="13">
        <v>1</v>
      </c>
      <c r="E49" s="7">
        <v>0</v>
      </c>
      <c r="F49" s="7">
        <f t="shared" si="4"/>
        <v>0</v>
      </c>
      <c r="G49" s="7"/>
      <c r="H49" s="2"/>
    </row>
    <row r="50" spans="1:8" ht="31.8" thickBot="1" x14ac:dyDescent="0.35">
      <c r="A50" s="10" t="s">
        <v>92</v>
      </c>
      <c r="B50" s="13" t="s">
        <v>93</v>
      </c>
      <c r="C50" s="13" t="s">
        <v>276</v>
      </c>
      <c r="D50" s="13">
        <v>2</v>
      </c>
      <c r="E50" s="7">
        <v>0</v>
      </c>
      <c r="F50" s="7">
        <f t="shared" si="4"/>
        <v>0</v>
      </c>
      <c r="G50" s="7"/>
      <c r="H50" s="2"/>
    </row>
    <row r="51" spans="1:8" ht="31.8" thickBot="1" x14ac:dyDescent="0.35">
      <c r="A51" s="10" t="s">
        <v>94</v>
      </c>
      <c r="B51" s="14" t="s">
        <v>95</v>
      </c>
      <c r="C51" s="13" t="s">
        <v>277</v>
      </c>
      <c r="D51" s="13">
        <v>1</v>
      </c>
      <c r="E51" s="7">
        <v>0</v>
      </c>
      <c r="F51" s="7">
        <f t="shared" si="4"/>
        <v>0</v>
      </c>
      <c r="G51" s="7"/>
      <c r="H51" s="2"/>
    </row>
    <row r="52" spans="1:8" ht="31.8" thickBot="1" x14ac:dyDescent="0.35">
      <c r="A52" s="10" t="s">
        <v>96</v>
      </c>
      <c r="B52" s="11" t="s">
        <v>97</v>
      </c>
      <c r="C52" s="13" t="s">
        <v>278</v>
      </c>
      <c r="D52" s="13">
        <v>1</v>
      </c>
      <c r="E52" s="7">
        <v>1</v>
      </c>
      <c r="F52" s="7">
        <f t="shared" si="4"/>
        <v>100</v>
      </c>
      <c r="G52" s="7"/>
      <c r="H52" s="2"/>
    </row>
    <row r="53" spans="1:8" ht="63" thickBot="1" x14ac:dyDescent="0.35">
      <c r="A53" s="10" t="s">
        <v>98</v>
      </c>
      <c r="B53" s="11" t="s">
        <v>99</v>
      </c>
      <c r="C53" s="13" t="s">
        <v>276</v>
      </c>
      <c r="D53" s="13">
        <v>1</v>
      </c>
      <c r="E53" s="7">
        <v>0</v>
      </c>
      <c r="F53" s="7">
        <f t="shared" si="4"/>
        <v>0</v>
      </c>
      <c r="G53" s="7"/>
      <c r="H53" s="2"/>
    </row>
    <row r="54" spans="1:8" ht="47.4" thickBot="1" x14ac:dyDescent="0.35">
      <c r="A54" s="10" t="s">
        <v>100</v>
      </c>
      <c r="B54" s="11" t="s">
        <v>101</v>
      </c>
      <c r="C54" s="13" t="s">
        <v>230</v>
      </c>
      <c r="D54" s="13">
        <v>1</v>
      </c>
      <c r="E54" s="7">
        <v>0</v>
      </c>
      <c r="F54" s="7">
        <f t="shared" si="4"/>
        <v>0</v>
      </c>
      <c r="G54" s="7"/>
      <c r="H54" s="2" t="s">
        <v>318</v>
      </c>
    </row>
    <row r="55" spans="1:8" ht="31.8" thickBot="1" x14ac:dyDescent="0.35">
      <c r="A55" s="10" t="s">
        <v>102</v>
      </c>
      <c r="B55" s="11" t="s">
        <v>103</v>
      </c>
      <c r="C55" s="13" t="s">
        <v>279</v>
      </c>
      <c r="D55" s="13">
        <v>2</v>
      </c>
      <c r="E55" s="7">
        <v>2</v>
      </c>
      <c r="F55" s="7">
        <f t="shared" si="4"/>
        <v>100</v>
      </c>
      <c r="G55" s="7"/>
      <c r="H55" s="2"/>
    </row>
    <row r="56" spans="1:8" ht="31.8" thickBot="1" x14ac:dyDescent="0.35">
      <c r="A56" s="10" t="s">
        <v>104</v>
      </c>
      <c r="B56" s="11" t="s">
        <v>105</v>
      </c>
      <c r="C56" s="13" t="s">
        <v>280</v>
      </c>
      <c r="D56" s="13">
        <v>1</v>
      </c>
      <c r="E56" s="7">
        <v>1</v>
      </c>
      <c r="F56" s="7">
        <f t="shared" si="4"/>
        <v>100</v>
      </c>
      <c r="G56" s="7"/>
      <c r="H56" s="2"/>
    </row>
    <row r="57" spans="1:8" ht="16.2" thickBot="1" x14ac:dyDescent="0.35">
      <c r="A57" s="28"/>
      <c r="B57" s="26" t="s">
        <v>106</v>
      </c>
      <c r="C57" s="13"/>
      <c r="D57" s="27"/>
      <c r="E57" s="36"/>
      <c r="F57" s="36">
        <f>SUM(F39:F56)</f>
        <v>625</v>
      </c>
      <c r="G57" s="36"/>
      <c r="H57" s="4"/>
    </row>
    <row r="58" spans="1:8" ht="16.2" thickBot="1" x14ac:dyDescent="0.35">
      <c r="A58" s="28"/>
      <c r="B58" s="52" t="s">
        <v>319</v>
      </c>
      <c r="C58" s="44"/>
      <c r="D58" s="51"/>
      <c r="E58" s="53"/>
      <c r="F58" s="54">
        <f>+F57/19</f>
        <v>32.89473684210526</v>
      </c>
      <c r="G58" s="80">
        <v>19</v>
      </c>
      <c r="H58" s="4"/>
    </row>
    <row r="59" spans="1:8" ht="16.2" thickBot="1" x14ac:dyDescent="0.35">
      <c r="A59" s="28"/>
      <c r="B59" s="26" t="s">
        <v>107</v>
      </c>
      <c r="C59" s="27"/>
      <c r="D59" s="27"/>
      <c r="E59" s="36"/>
      <c r="F59" s="36">
        <f>+F58+F38+F33/3</f>
        <v>54.293913796837771</v>
      </c>
      <c r="G59" s="36"/>
      <c r="H59" s="4"/>
    </row>
    <row r="60" spans="1:8" ht="16.2" thickBot="1" x14ac:dyDescent="0.35">
      <c r="A60" s="31"/>
      <c r="B60" s="21" t="s">
        <v>108</v>
      </c>
      <c r="C60" s="13"/>
      <c r="D60" s="13"/>
      <c r="E60" s="7"/>
      <c r="F60" s="7"/>
      <c r="G60" s="7"/>
      <c r="H60" s="2"/>
    </row>
    <row r="61" spans="1:8" ht="31.8" thickBot="1" x14ac:dyDescent="0.35">
      <c r="A61" s="28" t="s">
        <v>109</v>
      </c>
      <c r="B61" s="11" t="s">
        <v>110</v>
      </c>
      <c r="C61" s="13" t="s">
        <v>111</v>
      </c>
      <c r="D61" s="13">
        <v>110</v>
      </c>
      <c r="E61" s="7">
        <v>0</v>
      </c>
      <c r="F61" s="7">
        <f>+E61/D61*100</f>
        <v>0</v>
      </c>
      <c r="G61" s="7"/>
      <c r="H61" s="2"/>
    </row>
    <row r="62" spans="1:8" ht="31.8" thickBot="1" x14ac:dyDescent="0.35">
      <c r="A62" s="28" t="s">
        <v>112</v>
      </c>
      <c r="B62" s="11" t="s">
        <v>113</v>
      </c>
      <c r="C62" s="13" t="s">
        <v>286</v>
      </c>
      <c r="D62" s="13">
        <v>1</v>
      </c>
      <c r="E62" s="7">
        <v>1</v>
      </c>
      <c r="F62" s="7">
        <f>+E62/D62*100</f>
        <v>100</v>
      </c>
      <c r="G62" s="7"/>
      <c r="H62" s="2"/>
    </row>
    <row r="63" spans="1:8" ht="31.8" thickBot="1" x14ac:dyDescent="0.35">
      <c r="A63" s="28" t="s">
        <v>114</v>
      </c>
      <c r="B63" s="11" t="s">
        <v>115</v>
      </c>
      <c r="C63" s="13" t="s">
        <v>281</v>
      </c>
      <c r="D63" s="13">
        <v>1</v>
      </c>
      <c r="E63" s="7">
        <v>0.5</v>
      </c>
      <c r="F63" s="7">
        <f t="shared" ref="F63:F71" si="5">+E63/D63*100</f>
        <v>50</v>
      </c>
      <c r="G63" s="7"/>
      <c r="H63" s="13" t="s">
        <v>320</v>
      </c>
    </row>
    <row r="64" spans="1:8" ht="31.8" thickBot="1" x14ac:dyDescent="0.35">
      <c r="A64" s="28" t="s">
        <v>116</v>
      </c>
      <c r="B64" s="11" t="s">
        <v>117</v>
      </c>
      <c r="C64" s="13" t="s">
        <v>282</v>
      </c>
      <c r="D64" s="13">
        <v>1</v>
      </c>
      <c r="E64" s="7">
        <v>0.5</v>
      </c>
      <c r="F64" s="7">
        <f t="shared" si="5"/>
        <v>50</v>
      </c>
      <c r="G64" s="7"/>
      <c r="H64" s="13" t="s">
        <v>321</v>
      </c>
    </row>
    <row r="65" spans="1:8" ht="31.8" thickBot="1" x14ac:dyDescent="0.35">
      <c r="A65" s="28" t="s">
        <v>118</v>
      </c>
      <c r="B65" s="11" t="s">
        <v>119</v>
      </c>
      <c r="C65" s="13" t="s">
        <v>28</v>
      </c>
      <c r="D65" s="13">
        <v>1</v>
      </c>
      <c r="E65" s="7">
        <v>1</v>
      </c>
      <c r="F65" s="7">
        <f t="shared" si="5"/>
        <v>100</v>
      </c>
      <c r="G65" s="7"/>
      <c r="H65" s="13" t="s">
        <v>300</v>
      </c>
    </row>
    <row r="66" spans="1:8" ht="31.8" thickBot="1" x14ac:dyDescent="0.35">
      <c r="A66" s="28" t="s">
        <v>121</v>
      </c>
      <c r="B66" s="11" t="s">
        <v>122</v>
      </c>
      <c r="C66" s="13" t="s">
        <v>123</v>
      </c>
      <c r="D66" s="13">
        <v>1</v>
      </c>
      <c r="E66" s="7">
        <v>1</v>
      </c>
      <c r="F66" s="7">
        <f t="shared" si="5"/>
        <v>100</v>
      </c>
      <c r="G66" s="7"/>
      <c r="H66" s="13" t="s">
        <v>301</v>
      </c>
    </row>
    <row r="67" spans="1:8" ht="16.2" thickBot="1" x14ac:dyDescent="0.35">
      <c r="A67" s="28" t="s">
        <v>124</v>
      </c>
      <c r="B67" s="11" t="s">
        <v>125</v>
      </c>
      <c r="C67" s="13" t="s">
        <v>126</v>
      </c>
      <c r="D67" s="13">
        <v>1</v>
      </c>
      <c r="E67" s="7">
        <v>1</v>
      </c>
      <c r="F67" s="7">
        <f t="shared" si="5"/>
        <v>100</v>
      </c>
      <c r="G67" s="7"/>
      <c r="H67" s="13" t="s">
        <v>302</v>
      </c>
    </row>
    <row r="68" spans="1:8" ht="31.8" thickBot="1" x14ac:dyDescent="0.35">
      <c r="A68" s="28" t="s">
        <v>127</v>
      </c>
      <c r="B68" s="11" t="s">
        <v>128</v>
      </c>
      <c r="C68" s="13" t="s">
        <v>129</v>
      </c>
      <c r="D68" s="13">
        <v>1</v>
      </c>
      <c r="E68" s="7">
        <v>1</v>
      </c>
      <c r="F68" s="7">
        <f t="shared" si="5"/>
        <v>100</v>
      </c>
      <c r="G68" s="7"/>
      <c r="H68" s="13" t="s">
        <v>303</v>
      </c>
    </row>
    <row r="69" spans="1:8" ht="31.8" thickBot="1" x14ac:dyDescent="0.35">
      <c r="A69" s="28" t="s">
        <v>130</v>
      </c>
      <c r="B69" s="11" t="s">
        <v>131</v>
      </c>
      <c r="C69" s="13" t="s">
        <v>287</v>
      </c>
      <c r="D69" s="13">
        <v>1</v>
      </c>
      <c r="E69" s="7">
        <v>1</v>
      </c>
      <c r="F69" s="7">
        <f t="shared" si="5"/>
        <v>100</v>
      </c>
      <c r="G69" s="7"/>
      <c r="H69" s="13" t="s">
        <v>304</v>
      </c>
    </row>
    <row r="70" spans="1:8" ht="16.2" thickBot="1" x14ac:dyDescent="0.35">
      <c r="A70" s="28" t="s">
        <v>132</v>
      </c>
      <c r="B70" s="11" t="s">
        <v>133</v>
      </c>
      <c r="C70" s="13" t="s">
        <v>287</v>
      </c>
      <c r="D70" s="13">
        <v>1</v>
      </c>
      <c r="E70" s="7">
        <v>0</v>
      </c>
      <c r="F70" s="7">
        <f t="shared" si="5"/>
        <v>0</v>
      </c>
      <c r="G70" s="7"/>
      <c r="H70" s="13" t="s">
        <v>305</v>
      </c>
    </row>
    <row r="71" spans="1:8" ht="16.2" thickBot="1" x14ac:dyDescent="0.35">
      <c r="A71" s="28" t="s">
        <v>134</v>
      </c>
      <c r="B71" s="11" t="s">
        <v>135</v>
      </c>
      <c r="C71" s="13" t="s">
        <v>288</v>
      </c>
      <c r="D71" s="13">
        <v>1</v>
      </c>
      <c r="E71" s="7">
        <v>1</v>
      </c>
      <c r="F71" s="7">
        <f t="shared" si="5"/>
        <v>100</v>
      </c>
      <c r="G71" s="7"/>
      <c r="H71" s="13" t="s">
        <v>306</v>
      </c>
    </row>
    <row r="72" spans="1:8" ht="16.2" thickBot="1" x14ac:dyDescent="0.35">
      <c r="A72" s="28"/>
      <c r="B72" s="26" t="s">
        <v>136</v>
      </c>
      <c r="C72" s="13"/>
      <c r="D72" s="27"/>
      <c r="E72" s="36"/>
      <c r="F72" s="36">
        <f>SUM(F61:F71)</f>
        <v>800</v>
      </c>
      <c r="G72" s="36"/>
      <c r="H72" s="4"/>
    </row>
    <row r="73" spans="1:8" ht="16.2" thickBot="1" x14ac:dyDescent="0.35">
      <c r="A73" s="28"/>
      <c r="B73" s="52" t="s">
        <v>319</v>
      </c>
      <c r="C73" s="44"/>
      <c r="D73" s="51"/>
      <c r="E73" s="53"/>
      <c r="F73" s="54">
        <f>+F72/11</f>
        <v>72.727272727272734</v>
      </c>
      <c r="G73" s="80">
        <v>11</v>
      </c>
      <c r="H73" s="4"/>
    </row>
    <row r="74" spans="1:8" ht="31.8" thickBot="1" x14ac:dyDescent="0.35">
      <c r="A74" s="31"/>
      <c r="B74" s="21" t="s">
        <v>137</v>
      </c>
      <c r="C74" s="13"/>
      <c r="D74" s="13"/>
      <c r="E74" s="7"/>
      <c r="F74" s="7"/>
      <c r="G74" s="7"/>
      <c r="H74" s="2"/>
    </row>
    <row r="75" spans="1:8" ht="31.8" thickBot="1" x14ac:dyDescent="0.35">
      <c r="A75" s="28" t="s">
        <v>138</v>
      </c>
      <c r="B75" s="11" t="s">
        <v>139</v>
      </c>
      <c r="C75" s="13" t="s">
        <v>289</v>
      </c>
      <c r="D75" s="13">
        <v>50</v>
      </c>
      <c r="E75" s="7">
        <v>0</v>
      </c>
      <c r="F75" s="7">
        <f>+E75/D75*100</f>
        <v>0</v>
      </c>
      <c r="G75" s="7"/>
      <c r="H75" s="2"/>
    </row>
    <row r="76" spans="1:8" ht="31.8" thickBot="1" x14ac:dyDescent="0.35">
      <c r="A76" s="28" t="s">
        <v>140</v>
      </c>
      <c r="B76" s="11" t="s">
        <v>141</v>
      </c>
      <c r="C76" s="13" t="s">
        <v>290</v>
      </c>
      <c r="D76" s="13">
        <v>1</v>
      </c>
      <c r="E76" s="7">
        <v>0</v>
      </c>
      <c r="F76" s="7">
        <f>+E76/D76*100</f>
        <v>0</v>
      </c>
      <c r="G76" s="7"/>
      <c r="H76" s="2"/>
    </row>
    <row r="77" spans="1:8" ht="15.6" thickBot="1" x14ac:dyDescent="0.35">
      <c r="A77" s="37"/>
      <c r="B77" s="38" t="s">
        <v>142</v>
      </c>
      <c r="C77" s="36"/>
      <c r="D77" s="36"/>
      <c r="E77" s="36"/>
      <c r="F77" s="36">
        <f>SUM(F75:F76)</f>
        <v>0</v>
      </c>
      <c r="G77" s="36"/>
      <c r="H77" s="4"/>
    </row>
    <row r="78" spans="1:8" ht="15.6" thickBot="1" x14ac:dyDescent="0.35">
      <c r="A78" s="37"/>
      <c r="B78" s="58" t="s">
        <v>319</v>
      </c>
      <c r="C78" s="53"/>
      <c r="D78" s="53"/>
      <c r="E78" s="53"/>
      <c r="F78" s="53">
        <f>+F77/2</f>
        <v>0</v>
      </c>
      <c r="G78" s="80">
        <v>3</v>
      </c>
      <c r="H78" s="4"/>
    </row>
    <row r="79" spans="1:8" ht="15.6" thickBot="1" x14ac:dyDescent="0.35">
      <c r="A79" s="37"/>
      <c r="B79" s="38" t="s">
        <v>143</v>
      </c>
      <c r="C79" s="36"/>
      <c r="D79" s="36"/>
      <c r="E79" s="36"/>
      <c r="F79" s="57">
        <f>+F78+F73/2</f>
        <v>36.363636363636367</v>
      </c>
      <c r="G79" s="36"/>
      <c r="H79" s="4"/>
    </row>
    <row r="80" spans="1:8" ht="45.6" thickBot="1" x14ac:dyDescent="0.35">
      <c r="A80" s="37"/>
      <c r="B80" s="39" t="s">
        <v>144</v>
      </c>
      <c r="C80" s="7"/>
      <c r="D80" s="7"/>
      <c r="E80" s="7"/>
      <c r="F80" s="7"/>
      <c r="G80" s="7"/>
      <c r="H80" s="2"/>
    </row>
    <row r="81" spans="1:8" ht="47.4" thickBot="1" x14ac:dyDescent="0.35">
      <c r="A81" s="28" t="s">
        <v>145</v>
      </c>
      <c r="B81" s="11" t="s">
        <v>146</v>
      </c>
      <c r="C81" s="13" t="s">
        <v>147</v>
      </c>
      <c r="D81" s="13">
        <v>3</v>
      </c>
      <c r="E81" s="13">
        <v>1.5</v>
      </c>
      <c r="F81" s="13">
        <f>+E81/D81*100</f>
        <v>50</v>
      </c>
      <c r="G81" s="13"/>
      <c r="H81" s="12"/>
    </row>
    <row r="82" spans="1:8" ht="31.8" thickBot="1" x14ac:dyDescent="0.35">
      <c r="A82" s="28" t="s">
        <v>148</v>
      </c>
      <c r="B82" s="11" t="s">
        <v>149</v>
      </c>
      <c r="C82" s="13" t="s">
        <v>147</v>
      </c>
      <c r="D82" s="13">
        <v>3</v>
      </c>
      <c r="E82" s="13">
        <v>1.5</v>
      </c>
      <c r="F82" s="13">
        <f t="shared" ref="F82:F116" si="6">+E82/D82*100</f>
        <v>50</v>
      </c>
      <c r="G82" s="13"/>
      <c r="H82" s="12"/>
    </row>
    <row r="83" spans="1:8" ht="69" customHeight="1" thickBot="1" x14ac:dyDescent="0.35">
      <c r="A83" s="28" t="s">
        <v>150</v>
      </c>
      <c r="B83" s="25" t="s">
        <v>151</v>
      </c>
      <c r="C83" s="13" t="s">
        <v>293</v>
      </c>
      <c r="D83" s="13">
        <v>6</v>
      </c>
      <c r="E83" s="13">
        <v>6</v>
      </c>
      <c r="F83" s="13">
        <f t="shared" si="6"/>
        <v>100</v>
      </c>
      <c r="G83" s="13"/>
      <c r="H83" s="12"/>
    </row>
    <row r="84" spans="1:8" ht="37.799999999999997" customHeight="1" thickBot="1" x14ac:dyDescent="0.35">
      <c r="A84" s="28" t="s">
        <v>152</v>
      </c>
      <c r="B84" s="11" t="s">
        <v>153</v>
      </c>
      <c r="C84" s="13" t="s">
        <v>291</v>
      </c>
      <c r="D84" s="13">
        <v>1</v>
      </c>
      <c r="E84" s="13">
        <v>0</v>
      </c>
      <c r="F84" s="13">
        <f t="shared" si="6"/>
        <v>0</v>
      </c>
      <c r="G84" s="13"/>
      <c r="H84" s="13" t="s">
        <v>347</v>
      </c>
    </row>
    <row r="85" spans="1:8" ht="24" customHeight="1" thickBot="1" x14ac:dyDescent="0.35">
      <c r="A85" s="28" t="s">
        <v>154</v>
      </c>
      <c r="B85" s="25" t="s">
        <v>155</v>
      </c>
      <c r="C85" s="13" t="s">
        <v>291</v>
      </c>
      <c r="D85" s="13">
        <v>1</v>
      </c>
      <c r="E85" s="13">
        <v>0</v>
      </c>
      <c r="F85" s="13">
        <f t="shared" si="6"/>
        <v>0</v>
      </c>
      <c r="G85" s="13"/>
      <c r="H85" s="44" t="s">
        <v>294</v>
      </c>
    </row>
    <row r="86" spans="1:8" ht="63" thickBot="1" x14ac:dyDescent="0.35">
      <c r="A86" s="28" t="s">
        <v>156</v>
      </c>
      <c r="B86" s="11" t="s">
        <v>157</v>
      </c>
      <c r="C86" s="13"/>
      <c r="D86" s="13">
        <v>3</v>
      </c>
      <c r="E86" s="13">
        <v>3</v>
      </c>
      <c r="F86" s="13">
        <f t="shared" si="6"/>
        <v>100</v>
      </c>
      <c r="G86" s="13"/>
      <c r="H86" s="13" t="s">
        <v>307</v>
      </c>
    </row>
    <row r="87" spans="1:8" ht="31.8" thickBot="1" x14ac:dyDescent="0.35">
      <c r="A87" s="28" t="s">
        <v>158</v>
      </c>
      <c r="B87" s="25" t="s">
        <v>159</v>
      </c>
      <c r="C87" s="11" t="s">
        <v>339</v>
      </c>
      <c r="D87" s="11">
        <v>1</v>
      </c>
      <c r="E87" s="11">
        <v>0</v>
      </c>
      <c r="F87" s="13">
        <f t="shared" si="6"/>
        <v>0</v>
      </c>
      <c r="G87" s="11"/>
      <c r="H87" s="11"/>
    </row>
    <row r="88" spans="1:8" ht="16.2" thickBot="1" x14ac:dyDescent="0.35">
      <c r="A88" s="28"/>
      <c r="B88" s="21" t="s">
        <v>160</v>
      </c>
      <c r="C88" s="11" t="s">
        <v>310</v>
      </c>
      <c r="D88" s="11">
        <v>12</v>
      </c>
      <c r="E88" s="11">
        <v>6</v>
      </c>
      <c r="F88" s="13">
        <f t="shared" si="6"/>
        <v>50</v>
      </c>
      <c r="G88" s="11"/>
      <c r="H88" s="11"/>
    </row>
    <row r="89" spans="1:8" ht="47.4" thickBot="1" x14ac:dyDescent="0.35">
      <c r="A89" s="28" t="s">
        <v>161</v>
      </c>
      <c r="B89" s="11" t="s">
        <v>162</v>
      </c>
      <c r="C89" s="11" t="s">
        <v>336</v>
      </c>
      <c r="D89" s="11">
        <v>1</v>
      </c>
      <c r="E89" s="11">
        <v>0</v>
      </c>
      <c r="F89" s="13">
        <f t="shared" si="6"/>
        <v>0</v>
      </c>
      <c r="G89" s="11"/>
      <c r="H89" s="11" t="s">
        <v>337</v>
      </c>
    </row>
    <row r="90" spans="1:8" ht="31.8" thickBot="1" x14ac:dyDescent="0.35">
      <c r="A90" s="28" t="s">
        <v>163</v>
      </c>
      <c r="B90" s="11" t="s">
        <v>164</v>
      </c>
      <c r="C90" s="11" t="s">
        <v>334</v>
      </c>
      <c r="D90" s="11">
        <v>1</v>
      </c>
      <c r="E90" s="11">
        <v>0.5</v>
      </c>
      <c r="F90" s="13">
        <f t="shared" si="6"/>
        <v>50</v>
      </c>
      <c r="G90" s="11"/>
      <c r="H90" s="11" t="s">
        <v>338</v>
      </c>
    </row>
    <row r="91" spans="1:8" ht="31.8" thickBot="1" x14ac:dyDescent="0.35">
      <c r="A91" s="28" t="s">
        <v>165</v>
      </c>
      <c r="B91" s="11" t="s">
        <v>166</v>
      </c>
      <c r="C91" s="11" t="s">
        <v>336</v>
      </c>
      <c r="D91" s="11">
        <v>1</v>
      </c>
      <c r="E91" s="11">
        <v>0</v>
      </c>
      <c r="F91" s="13">
        <f t="shared" si="6"/>
        <v>0</v>
      </c>
      <c r="G91" s="11"/>
      <c r="H91" s="11" t="s">
        <v>337</v>
      </c>
    </row>
    <row r="92" spans="1:8" ht="31.8" thickBot="1" x14ac:dyDescent="0.35">
      <c r="A92" s="28" t="s">
        <v>167</v>
      </c>
      <c r="B92" s="11" t="s">
        <v>168</v>
      </c>
      <c r="C92" s="11" t="s">
        <v>334</v>
      </c>
      <c r="D92" s="11">
        <v>1</v>
      </c>
      <c r="E92" s="11">
        <v>0.5</v>
      </c>
      <c r="F92" s="13">
        <f t="shared" si="6"/>
        <v>50</v>
      </c>
      <c r="G92" s="11"/>
      <c r="H92" s="11" t="s">
        <v>338</v>
      </c>
    </row>
    <row r="93" spans="1:8" ht="31.8" thickBot="1" x14ac:dyDescent="0.35">
      <c r="A93" s="28" t="s">
        <v>169</v>
      </c>
      <c r="B93" s="11" t="s">
        <v>170</v>
      </c>
      <c r="C93" s="11" t="s">
        <v>334</v>
      </c>
      <c r="D93" s="11">
        <v>1</v>
      </c>
      <c r="E93" s="11">
        <v>0.5</v>
      </c>
      <c r="F93" s="13">
        <f t="shared" si="6"/>
        <v>50</v>
      </c>
      <c r="G93" s="11"/>
      <c r="H93" s="11" t="s">
        <v>338</v>
      </c>
    </row>
    <row r="94" spans="1:8" ht="31.8" thickBot="1" x14ac:dyDescent="0.35">
      <c r="A94" s="28" t="s">
        <v>171</v>
      </c>
      <c r="B94" s="25" t="s">
        <v>172</v>
      </c>
      <c r="C94" s="11" t="s">
        <v>334</v>
      </c>
      <c r="D94" s="11">
        <v>1</v>
      </c>
      <c r="E94" s="11">
        <v>1</v>
      </c>
      <c r="F94" s="13">
        <f t="shared" si="6"/>
        <v>100</v>
      </c>
      <c r="G94" s="11"/>
      <c r="H94" s="11" t="s">
        <v>335</v>
      </c>
    </row>
    <row r="95" spans="1:8" ht="63" thickBot="1" x14ac:dyDescent="0.35">
      <c r="A95" s="28" t="s">
        <v>173</v>
      </c>
      <c r="B95" s="11" t="s">
        <v>174</v>
      </c>
      <c r="C95" s="11" t="s">
        <v>332</v>
      </c>
      <c r="D95" s="11">
        <v>1</v>
      </c>
      <c r="E95" s="11">
        <v>1</v>
      </c>
      <c r="F95" s="13">
        <f t="shared" si="6"/>
        <v>100</v>
      </c>
      <c r="G95" s="11"/>
      <c r="H95" s="11" t="s">
        <v>333</v>
      </c>
    </row>
    <row r="96" spans="1:8" ht="31.8" thickBot="1" x14ac:dyDescent="0.35">
      <c r="A96" s="28" t="s">
        <v>175</v>
      </c>
      <c r="B96" s="25" t="s">
        <v>176</v>
      </c>
      <c r="C96" s="11" t="s">
        <v>230</v>
      </c>
      <c r="D96" s="11">
        <v>1</v>
      </c>
      <c r="E96" s="11">
        <v>0</v>
      </c>
      <c r="F96" s="13">
        <f t="shared" si="6"/>
        <v>0</v>
      </c>
      <c r="G96" s="11"/>
      <c r="H96" s="11" t="s">
        <v>295</v>
      </c>
    </row>
    <row r="97" spans="1:8" ht="31.8" thickBot="1" x14ac:dyDescent="0.35">
      <c r="A97" s="28" t="s">
        <v>177</v>
      </c>
      <c r="B97" s="25" t="s">
        <v>178</v>
      </c>
      <c r="C97" s="11" t="s">
        <v>230</v>
      </c>
      <c r="D97" s="11">
        <v>1</v>
      </c>
      <c r="E97" s="11">
        <v>0</v>
      </c>
      <c r="F97" s="13">
        <f t="shared" si="6"/>
        <v>0</v>
      </c>
      <c r="G97" s="11"/>
      <c r="H97" s="11" t="s">
        <v>296</v>
      </c>
    </row>
    <row r="98" spans="1:8" ht="31.8" thickBot="1" x14ac:dyDescent="0.35">
      <c r="A98" s="28" t="s">
        <v>179</v>
      </c>
      <c r="B98" s="25" t="s">
        <v>180</v>
      </c>
      <c r="C98" s="11" t="s">
        <v>230</v>
      </c>
      <c r="D98" s="11">
        <v>1</v>
      </c>
      <c r="E98" s="11">
        <v>0</v>
      </c>
      <c r="F98" s="13">
        <f t="shared" si="6"/>
        <v>0</v>
      </c>
      <c r="G98" s="11"/>
      <c r="H98" s="11"/>
    </row>
    <row r="99" spans="1:8" ht="31.8" thickBot="1" x14ac:dyDescent="0.35">
      <c r="A99" s="28" t="s">
        <v>181</v>
      </c>
      <c r="B99" s="11" t="s">
        <v>182</v>
      </c>
      <c r="C99" s="11" t="s">
        <v>330</v>
      </c>
      <c r="D99" s="11">
        <v>3</v>
      </c>
      <c r="E99" s="11">
        <v>3</v>
      </c>
      <c r="F99" s="13">
        <f t="shared" si="6"/>
        <v>100</v>
      </c>
      <c r="G99" s="11"/>
      <c r="H99" s="11" t="s">
        <v>331</v>
      </c>
    </row>
    <row r="100" spans="1:8" ht="16.2" thickBot="1" x14ac:dyDescent="0.35">
      <c r="A100" s="28" t="s">
        <v>183</v>
      </c>
      <c r="B100" s="11" t="s">
        <v>184</v>
      </c>
      <c r="C100" s="11" t="s">
        <v>328</v>
      </c>
      <c r="D100" s="11">
        <v>8</v>
      </c>
      <c r="E100" s="11">
        <v>4</v>
      </c>
      <c r="F100" s="13">
        <f t="shared" si="6"/>
        <v>50</v>
      </c>
      <c r="G100" s="11"/>
      <c r="H100" s="11"/>
    </row>
    <row r="101" spans="1:8" ht="16.2" thickBot="1" x14ac:dyDescent="0.35">
      <c r="A101" s="28" t="s">
        <v>185</v>
      </c>
      <c r="B101" s="11" t="s">
        <v>186</v>
      </c>
      <c r="C101" s="11" t="s">
        <v>120</v>
      </c>
      <c r="D101" s="11">
        <v>4</v>
      </c>
      <c r="E101" s="11">
        <v>3</v>
      </c>
      <c r="F101" s="13">
        <f t="shared" si="6"/>
        <v>75</v>
      </c>
      <c r="G101" s="11"/>
      <c r="H101" s="15"/>
    </row>
    <row r="102" spans="1:8" ht="16.2" thickBot="1" x14ac:dyDescent="0.35">
      <c r="A102" s="28" t="s">
        <v>187</v>
      </c>
      <c r="B102" s="11" t="s">
        <v>188</v>
      </c>
      <c r="C102" s="11" t="s">
        <v>329</v>
      </c>
      <c r="D102" s="11">
        <v>1</v>
      </c>
      <c r="E102" s="11">
        <v>1</v>
      </c>
      <c r="F102" s="13">
        <f t="shared" si="6"/>
        <v>100</v>
      </c>
      <c r="G102" s="11"/>
      <c r="H102" s="15"/>
    </row>
    <row r="103" spans="1:8" ht="16.2" thickBot="1" x14ac:dyDescent="0.35">
      <c r="A103" s="28" t="s">
        <v>189</v>
      </c>
      <c r="B103" s="11" t="s">
        <v>190</v>
      </c>
      <c r="C103" s="11" t="s">
        <v>230</v>
      </c>
      <c r="D103" s="11">
        <v>1</v>
      </c>
      <c r="E103" s="11">
        <v>1</v>
      </c>
      <c r="F103" s="13">
        <f t="shared" si="6"/>
        <v>100</v>
      </c>
      <c r="G103" s="11"/>
      <c r="H103" s="15"/>
    </row>
    <row r="104" spans="1:8" ht="31.8" thickBot="1" x14ac:dyDescent="0.35">
      <c r="A104" s="28" t="s">
        <v>191</v>
      </c>
      <c r="B104" s="11" t="s">
        <v>192</v>
      </c>
      <c r="C104" s="11" t="s">
        <v>230</v>
      </c>
      <c r="D104" s="11">
        <v>1</v>
      </c>
      <c r="E104" s="11">
        <v>0</v>
      </c>
      <c r="F104" s="13">
        <f t="shared" si="6"/>
        <v>0</v>
      </c>
      <c r="G104" s="11"/>
      <c r="H104" s="15"/>
    </row>
    <row r="105" spans="1:8" ht="31.8" thickBot="1" x14ac:dyDescent="0.35">
      <c r="A105" s="28" t="s">
        <v>193</v>
      </c>
      <c r="B105" s="11" t="s">
        <v>194</v>
      </c>
      <c r="C105" s="11" t="s">
        <v>230</v>
      </c>
      <c r="D105" s="11">
        <v>1</v>
      </c>
      <c r="E105" s="11">
        <v>0</v>
      </c>
      <c r="F105" s="13">
        <f t="shared" si="6"/>
        <v>0</v>
      </c>
      <c r="G105" s="11"/>
      <c r="H105" s="15"/>
    </row>
    <row r="106" spans="1:8" ht="16.2" thickBot="1" x14ac:dyDescent="0.35">
      <c r="A106" s="28" t="s">
        <v>195</v>
      </c>
      <c r="B106" s="11" t="s">
        <v>196</v>
      </c>
      <c r="C106" s="11" t="s">
        <v>230</v>
      </c>
      <c r="D106" s="11">
        <v>1</v>
      </c>
      <c r="E106" s="11">
        <v>0</v>
      </c>
      <c r="F106" s="13">
        <f t="shared" si="6"/>
        <v>0</v>
      </c>
      <c r="G106" s="11"/>
      <c r="H106" s="15"/>
    </row>
    <row r="107" spans="1:8" ht="16.2" thickBot="1" x14ac:dyDescent="0.35">
      <c r="A107" s="28" t="s">
        <v>197</v>
      </c>
      <c r="B107" s="11" t="s">
        <v>198</v>
      </c>
      <c r="C107" s="11" t="s">
        <v>327</v>
      </c>
      <c r="D107" s="11">
        <v>1</v>
      </c>
      <c r="E107" s="11">
        <v>0</v>
      </c>
      <c r="F107" s="13">
        <f t="shared" si="6"/>
        <v>0</v>
      </c>
      <c r="G107" s="11"/>
      <c r="H107" s="15"/>
    </row>
    <row r="108" spans="1:8" ht="16.2" thickBot="1" x14ac:dyDescent="0.35">
      <c r="A108" s="28" t="s">
        <v>199</v>
      </c>
      <c r="B108" s="11" t="s">
        <v>200</v>
      </c>
      <c r="C108" s="11" t="s">
        <v>310</v>
      </c>
      <c r="D108" s="11">
        <v>12</v>
      </c>
      <c r="E108" s="11">
        <v>6</v>
      </c>
      <c r="F108" s="13">
        <f t="shared" si="6"/>
        <v>50</v>
      </c>
      <c r="G108" s="11"/>
      <c r="H108" s="15"/>
    </row>
    <row r="109" spans="1:8" ht="31.8" thickBot="1" x14ac:dyDescent="0.35">
      <c r="A109" s="28" t="s">
        <v>201</v>
      </c>
      <c r="B109" s="11" t="s">
        <v>202</v>
      </c>
      <c r="C109" s="11" t="s">
        <v>230</v>
      </c>
      <c r="D109" s="11">
        <v>1</v>
      </c>
      <c r="E109" s="11">
        <v>1</v>
      </c>
      <c r="F109" s="13">
        <f t="shared" si="6"/>
        <v>100</v>
      </c>
      <c r="G109" s="11"/>
      <c r="H109" s="15"/>
    </row>
    <row r="110" spans="1:8" ht="16.2" thickBot="1" x14ac:dyDescent="0.35">
      <c r="A110" s="28" t="s">
        <v>203</v>
      </c>
      <c r="B110" s="11" t="s">
        <v>204</v>
      </c>
      <c r="C110" s="11" t="s">
        <v>120</v>
      </c>
      <c r="D110" s="11">
        <v>4</v>
      </c>
      <c r="E110" s="11">
        <v>2</v>
      </c>
      <c r="F110" s="13">
        <f t="shared" si="6"/>
        <v>50</v>
      </c>
      <c r="G110" s="11"/>
      <c r="H110" s="15" t="s">
        <v>326</v>
      </c>
    </row>
    <row r="111" spans="1:8" ht="31.8" thickBot="1" x14ac:dyDescent="0.35">
      <c r="A111" s="28" t="s">
        <v>205</v>
      </c>
      <c r="B111" s="11" t="s">
        <v>206</v>
      </c>
      <c r="C111" s="11" t="s">
        <v>230</v>
      </c>
      <c r="D111" s="11">
        <v>1</v>
      </c>
      <c r="E111" s="11">
        <v>0</v>
      </c>
      <c r="F111" s="13">
        <f t="shared" si="6"/>
        <v>0</v>
      </c>
      <c r="G111" s="11"/>
      <c r="H111" s="15" t="s">
        <v>325</v>
      </c>
    </row>
    <row r="112" spans="1:8" ht="47.4" thickBot="1" x14ac:dyDescent="0.35">
      <c r="A112" s="28" t="s">
        <v>207</v>
      </c>
      <c r="B112" s="11" t="s">
        <v>208</v>
      </c>
      <c r="C112" s="11" t="s">
        <v>230</v>
      </c>
      <c r="D112" s="11">
        <v>1</v>
      </c>
      <c r="E112" s="11">
        <v>0</v>
      </c>
      <c r="F112" s="13">
        <f t="shared" si="6"/>
        <v>0</v>
      </c>
      <c r="G112" s="11"/>
      <c r="H112" s="15" t="s">
        <v>325</v>
      </c>
    </row>
    <row r="113" spans="1:9" ht="31.8" thickBot="1" x14ac:dyDescent="0.35">
      <c r="A113" s="28" t="s">
        <v>209</v>
      </c>
      <c r="B113" s="25" t="s">
        <v>210</v>
      </c>
      <c r="C113" s="11" t="s">
        <v>230</v>
      </c>
      <c r="D113" s="11">
        <v>1</v>
      </c>
      <c r="E113" s="11">
        <v>0</v>
      </c>
      <c r="F113" s="13">
        <f t="shared" si="6"/>
        <v>0</v>
      </c>
      <c r="G113" s="11"/>
      <c r="H113" s="15" t="s">
        <v>324</v>
      </c>
    </row>
    <row r="114" spans="1:9" ht="31.8" thickBot="1" x14ac:dyDescent="0.35">
      <c r="A114" s="28" t="s">
        <v>211</v>
      </c>
      <c r="B114" s="25" t="s">
        <v>212</v>
      </c>
      <c r="C114" s="11" t="s">
        <v>230</v>
      </c>
      <c r="D114" s="11">
        <v>1</v>
      </c>
      <c r="E114" s="11">
        <v>0</v>
      </c>
      <c r="F114" s="13">
        <f t="shared" si="6"/>
        <v>0</v>
      </c>
      <c r="G114" s="11"/>
      <c r="H114" s="15" t="s">
        <v>325</v>
      </c>
    </row>
    <row r="115" spans="1:9" ht="31.8" thickBot="1" x14ac:dyDescent="0.35">
      <c r="A115" s="28" t="s">
        <v>213</v>
      </c>
      <c r="B115" s="25" t="s">
        <v>214</v>
      </c>
      <c r="C115" s="11" t="s">
        <v>230</v>
      </c>
      <c r="D115" s="11">
        <v>1</v>
      </c>
      <c r="E115" s="11">
        <v>0</v>
      </c>
      <c r="F115" s="13">
        <f t="shared" si="6"/>
        <v>0</v>
      </c>
      <c r="G115" s="11"/>
      <c r="H115" s="15" t="s">
        <v>322</v>
      </c>
    </row>
    <row r="116" spans="1:9" ht="31.2" x14ac:dyDescent="0.3">
      <c r="A116" s="62" t="s">
        <v>215</v>
      </c>
      <c r="B116" s="63" t="s">
        <v>216</v>
      </c>
      <c r="C116" s="64" t="s">
        <v>120</v>
      </c>
      <c r="D116" s="64">
        <v>1</v>
      </c>
      <c r="E116" s="64">
        <v>0</v>
      </c>
      <c r="F116" s="65">
        <f t="shared" si="6"/>
        <v>0</v>
      </c>
      <c r="G116" s="64"/>
      <c r="H116" s="66" t="s">
        <v>323</v>
      </c>
    </row>
    <row r="117" spans="1:9" s="69" customFormat="1" ht="30.6" customHeight="1" x14ac:dyDescent="0.3">
      <c r="A117" s="71"/>
      <c r="B117" s="72" t="s">
        <v>217</v>
      </c>
      <c r="C117" s="67"/>
      <c r="D117" s="67"/>
      <c r="E117" s="67"/>
      <c r="F117" s="67">
        <f>SUM(F89:F116)</f>
        <v>975</v>
      </c>
      <c r="G117" s="67"/>
      <c r="H117" s="68"/>
      <c r="I117" s="70"/>
    </row>
    <row r="118" spans="1:9" ht="30.6" customHeight="1" x14ac:dyDescent="0.3">
      <c r="A118" s="71"/>
      <c r="B118" s="73" t="s">
        <v>319</v>
      </c>
      <c r="C118" s="74"/>
      <c r="D118" s="74"/>
      <c r="E118" s="74"/>
      <c r="F118" s="75">
        <f>+F117/28</f>
        <v>34.821428571428569</v>
      </c>
      <c r="G118" s="81">
        <v>28</v>
      </c>
      <c r="H118" s="68"/>
    </row>
    <row r="119" spans="1:9" ht="15.6" x14ac:dyDescent="0.3">
      <c r="A119" s="71"/>
      <c r="B119" s="72"/>
      <c r="C119" s="67"/>
      <c r="D119" s="67"/>
      <c r="E119" s="67"/>
      <c r="F119" s="67"/>
      <c r="G119" s="67"/>
      <c r="H119" s="68"/>
    </row>
    <row r="120" spans="1:9" ht="16.2" thickBot="1" x14ac:dyDescent="0.35">
      <c r="A120" s="28"/>
      <c r="B120" s="21" t="s">
        <v>218</v>
      </c>
      <c r="C120" s="11"/>
      <c r="D120" s="11"/>
      <c r="E120" s="42"/>
      <c r="F120" s="42"/>
      <c r="G120" s="42"/>
      <c r="H120" s="43"/>
    </row>
    <row r="121" spans="1:9" ht="16.2" thickBot="1" x14ac:dyDescent="0.35">
      <c r="A121" s="28"/>
      <c r="B121" s="21" t="s">
        <v>219</v>
      </c>
      <c r="C121" s="11"/>
      <c r="D121" s="11"/>
      <c r="E121" s="11"/>
      <c r="F121" s="11"/>
      <c r="G121" s="11"/>
      <c r="H121" s="15"/>
    </row>
    <row r="122" spans="1:9" ht="31.8" thickBot="1" x14ac:dyDescent="0.35">
      <c r="A122" s="28" t="s">
        <v>220</v>
      </c>
      <c r="B122" s="11" t="s">
        <v>221</v>
      </c>
      <c r="C122" s="11" t="s">
        <v>308</v>
      </c>
      <c r="D122" s="11">
        <v>1</v>
      </c>
      <c r="E122" s="11">
        <v>0</v>
      </c>
      <c r="F122" s="11">
        <f>+E122/D122*100</f>
        <v>0</v>
      </c>
      <c r="G122" s="11"/>
      <c r="H122" s="11" t="s">
        <v>344</v>
      </c>
    </row>
    <row r="123" spans="1:9" ht="31.8" thickBot="1" x14ac:dyDescent="0.35">
      <c r="A123" s="37" t="s">
        <v>222</v>
      </c>
      <c r="B123" s="6" t="s">
        <v>223</v>
      </c>
      <c r="C123" s="11" t="s">
        <v>224</v>
      </c>
      <c r="D123" s="11">
        <v>2</v>
      </c>
      <c r="E123" s="11">
        <v>1</v>
      </c>
      <c r="F123" s="11">
        <f t="shared" ref="F123:F131" si="7">+E123/D123*100</f>
        <v>50</v>
      </c>
      <c r="G123" s="11"/>
      <c r="H123" s="11" t="s">
        <v>343</v>
      </c>
    </row>
    <row r="124" spans="1:9" ht="31.8" thickBot="1" x14ac:dyDescent="0.35">
      <c r="A124" s="37" t="s">
        <v>225</v>
      </c>
      <c r="B124" s="6" t="s">
        <v>226</v>
      </c>
      <c r="C124" s="11" t="s">
        <v>224</v>
      </c>
      <c r="D124" s="11">
        <v>6</v>
      </c>
      <c r="E124" s="11">
        <v>3</v>
      </c>
      <c r="F124" s="11">
        <f t="shared" si="7"/>
        <v>50</v>
      </c>
      <c r="G124" s="11"/>
      <c r="H124" s="11" t="s">
        <v>326</v>
      </c>
    </row>
    <row r="125" spans="1:9" ht="60.6" thickBot="1" x14ac:dyDescent="0.35">
      <c r="A125" s="37" t="s">
        <v>227</v>
      </c>
      <c r="B125" s="6" t="s">
        <v>228</v>
      </c>
      <c r="C125" s="11" t="s">
        <v>229</v>
      </c>
      <c r="D125" s="11">
        <v>1</v>
      </c>
      <c r="E125" s="11">
        <v>0</v>
      </c>
      <c r="F125" s="11">
        <f t="shared" si="7"/>
        <v>0</v>
      </c>
      <c r="G125" s="11"/>
      <c r="H125" s="11" t="s">
        <v>340</v>
      </c>
    </row>
    <row r="126" spans="1:9" ht="30.6" thickBot="1" x14ac:dyDescent="0.35">
      <c r="A126" s="37" t="s">
        <v>231</v>
      </c>
      <c r="B126" s="6" t="s">
        <v>232</v>
      </c>
      <c r="C126" s="11" t="s">
        <v>341</v>
      </c>
      <c r="D126" s="11">
        <v>1</v>
      </c>
      <c r="E126" s="11">
        <v>1</v>
      </c>
      <c r="F126" s="11">
        <f t="shared" si="7"/>
        <v>100</v>
      </c>
      <c r="G126" s="11"/>
      <c r="H126" s="11"/>
    </row>
    <row r="127" spans="1:9" ht="45.6" thickBot="1" x14ac:dyDescent="0.35">
      <c r="A127" s="37" t="s">
        <v>233</v>
      </c>
      <c r="B127" s="6" t="s">
        <v>234</v>
      </c>
      <c r="C127" s="11" t="s">
        <v>235</v>
      </c>
      <c r="D127" s="11">
        <v>1</v>
      </c>
      <c r="E127" s="11">
        <v>0.3</v>
      </c>
      <c r="F127" s="11">
        <f t="shared" si="7"/>
        <v>30</v>
      </c>
      <c r="G127" s="11"/>
      <c r="H127" s="11"/>
    </row>
    <row r="128" spans="1:9" ht="45.6" thickBot="1" x14ac:dyDescent="0.35">
      <c r="A128" s="37" t="s">
        <v>236</v>
      </c>
      <c r="B128" s="6" t="s">
        <v>237</v>
      </c>
      <c r="C128" s="11" t="s">
        <v>235</v>
      </c>
      <c r="D128" s="11">
        <v>3</v>
      </c>
      <c r="E128" s="11">
        <v>3</v>
      </c>
      <c r="F128" s="11">
        <f t="shared" si="7"/>
        <v>100</v>
      </c>
      <c r="G128" s="11"/>
      <c r="H128" s="11"/>
    </row>
    <row r="129" spans="1:8" ht="30.6" thickBot="1" x14ac:dyDescent="0.35">
      <c r="A129" s="37" t="s">
        <v>238</v>
      </c>
      <c r="B129" s="6" t="s">
        <v>239</v>
      </c>
      <c r="C129" s="11" t="s">
        <v>120</v>
      </c>
      <c r="D129" s="11">
        <v>1</v>
      </c>
      <c r="E129" s="11">
        <v>0</v>
      </c>
      <c r="F129" s="11">
        <f t="shared" si="7"/>
        <v>0</v>
      </c>
      <c r="G129" s="11"/>
      <c r="H129" s="11"/>
    </row>
    <row r="130" spans="1:8" ht="45.6" thickBot="1" x14ac:dyDescent="0.35">
      <c r="A130" s="37" t="s">
        <v>240</v>
      </c>
      <c r="B130" s="46" t="s">
        <v>241</v>
      </c>
      <c r="C130" s="11" t="s">
        <v>334</v>
      </c>
      <c r="D130" s="11">
        <v>1</v>
      </c>
      <c r="E130" s="11">
        <v>0</v>
      </c>
      <c r="F130" s="11">
        <f t="shared" si="7"/>
        <v>0</v>
      </c>
      <c r="G130" s="11"/>
      <c r="H130" s="11" t="s">
        <v>315</v>
      </c>
    </row>
    <row r="131" spans="1:8" ht="30.6" thickBot="1" x14ac:dyDescent="0.35">
      <c r="A131" s="37" t="s">
        <v>242</v>
      </c>
      <c r="B131" s="6" t="s">
        <v>243</v>
      </c>
      <c r="C131" s="6" t="s">
        <v>342</v>
      </c>
      <c r="D131" s="6">
        <v>1</v>
      </c>
      <c r="E131" s="6">
        <v>0</v>
      </c>
      <c r="F131" s="11">
        <f t="shared" si="7"/>
        <v>0</v>
      </c>
      <c r="G131" s="6"/>
      <c r="H131" s="3"/>
    </row>
    <row r="132" spans="1:8" ht="45.6" thickBot="1" x14ac:dyDescent="0.35">
      <c r="A132" s="37" t="s">
        <v>244</v>
      </c>
      <c r="B132" s="6" t="s">
        <v>245</v>
      </c>
      <c r="C132" s="45" t="s">
        <v>345</v>
      </c>
      <c r="D132" s="45">
        <v>12</v>
      </c>
      <c r="E132" s="45">
        <v>6</v>
      </c>
      <c r="F132" s="45">
        <f>+E132/D132*100</f>
        <v>50</v>
      </c>
      <c r="G132" s="45"/>
      <c r="H132" s="45"/>
    </row>
    <row r="133" spans="1:8" ht="45.6" thickBot="1" x14ac:dyDescent="0.35">
      <c r="A133" s="37" t="s">
        <v>246</v>
      </c>
      <c r="B133" s="6" t="s">
        <v>247</v>
      </c>
      <c r="C133" s="45" t="s">
        <v>345</v>
      </c>
      <c r="D133" s="45">
        <v>12</v>
      </c>
      <c r="E133" s="45">
        <v>6</v>
      </c>
      <c r="F133" s="45">
        <f>+E133/D133*100</f>
        <v>50</v>
      </c>
      <c r="G133" s="45"/>
      <c r="H133" s="45"/>
    </row>
    <row r="134" spans="1:8" ht="18.600000000000001" thickBot="1" x14ac:dyDescent="0.35">
      <c r="A134" s="37"/>
      <c r="B134" s="6"/>
      <c r="C134" s="45"/>
      <c r="D134" s="45"/>
      <c r="E134" s="45"/>
      <c r="F134" s="45">
        <f>SUM(F122:F133)</f>
        <v>430</v>
      </c>
      <c r="G134" s="45"/>
      <c r="H134" s="45"/>
    </row>
    <row r="135" spans="1:8" ht="18.600000000000001" thickBot="1" x14ac:dyDescent="0.35">
      <c r="A135" s="37"/>
      <c r="B135" s="61" t="s">
        <v>319</v>
      </c>
      <c r="C135" s="59"/>
      <c r="D135" s="59"/>
      <c r="E135" s="59"/>
      <c r="F135" s="60">
        <f>+F134/12</f>
        <v>35.833333333333336</v>
      </c>
      <c r="G135" s="82">
        <v>12</v>
      </c>
      <c r="H135" s="45"/>
    </row>
    <row r="136" spans="1:8" ht="18.600000000000001" thickBot="1" x14ac:dyDescent="0.35">
      <c r="A136" s="37"/>
      <c r="B136" s="76" t="s">
        <v>346</v>
      </c>
      <c r="C136" s="77"/>
      <c r="D136" s="77"/>
      <c r="E136" s="77"/>
      <c r="F136" s="78">
        <f>+F135+F118/2</f>
        <v>53.24404761904762</v>
      </c>
      <c r="G136" s="45"/>
      <c r="H136" s="45"/>
    </row>
    <row r="137" spans="1:8" ht="18.600000000000001" thickBot="1" x14ac:dyDescent="0.35">
      <c r="A137" s="37"/>
      <c r="B137" s="83" t="s">
        <v>348</v>
      </c>
      <c r="C137" s="83"/>
      <c r="D137" s="83"/>
      <c r="E137" s="83"/>
      <c r="F137" s="83">
        <v>48</v>
      </c>
      <c r="G137" s="83">
        <f>+G118+J71+G118+G78+G73+G58</f>
        <v>89</v>
      </c>
      <c r="H137" s="3"/>
    </row>
    <row r="138" spans="1:8" ht="15.6" thickBot="1" x14ac:dyDescent="0.35">
      <c r="A138" s="40"/>
      <c r="B138" s="47" t="s">
        <v>310</v>
      </c>
      <c r="C138" s="48"/>
      <c r="D138" s="48"/>
      <c r="E138" s="48"/>
      <c r="F138" s="48"/>
      <c r="G138" s="48"/>
      <c r="H138" s="48"/>
    </row>
    <row r="139" spans="1:8" ht="15.6" thickBot="1" x14ac:dyDescent="0.35">
      <c r="A139" s="40"/>
      <c r="B139" s="41" t="s">
        <v>248</v>
      </c>
      <c r="C139" s="8"/>
      <c r="D139" s="8"/>
      <c r="E139" s="8"/>
      <c r="F139" s="8"/>
      <c r="G139" s="8"/>
      <c r="H139" s="8"/>
    </row>
    <row r="140" spans="1:8" ht="15.6" thickBot="1" x14ac:dyDescent="0.35">
      <c r="A140" s="40"/>
      <c r="B140" s="38" t="s">
        <v>249</v>
      </c>
      <c r="C140" s="4"/>
      <c r="D140" s="4"/>
      <c r="E140" s="4"/>
      <c r="F140" s="4"/>
      <c r="G140" s="4"/>
      <c r="H140"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KAPUNGA AISHE</dc:creator>
  <cp:lastModifiedBy>Nathalie Aishe</cp:lastModifiedBy>
  <dcterms:created xsi:type="dcterms:W3CDTF">2026-06-15T13:08:53Z</dcterms:created>
  <dcterms:modified xsi:type="dcterms:W3CDTF">2026-08-31T11:08:09Z</dcterms:modified>
</cp:coreProperties>
</file>