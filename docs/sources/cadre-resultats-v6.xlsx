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rojets\pnda-se\"/>
    </mc:Choice>
  </mc:AlternateContent>
  <bookViews>
    <workbookView xWindow="0" yWindow="0" windowWidth="19200" windowHeight="6960" tabRatio="840" firstSheet="22" activeTab="34"/>
  </bookViews>
  <sheets>
    <sheet name="Accueil" sheetId="1" r:id="rId1"/>
    <sheet name="Cadre Rés" sheetId="2" r:id="rId2"/>
    <sheet name="Cadre Rés REV" sheetId="3" r:id="rId3"/>
    <sheet name="IODP1.1 REV" sheetId="5" r:id="rId4"/>
    <sheet name="IODP2.1.1 REV" sheetId="7" r:id="rId5"/>
    <sheet name="IODP2.1.2 REV" sheetId="9" r:id="rId6"/>
    <sheet name="IODP2.3 REV" sheetId="11" r:id="rId7"/>
    <sheet name="IODP2.4 REV" sheetId="13" r:id="rId8"/>
    <sheet name="IODP2.5 REV" sheetId="15" r:id="rId9"/>
    <sheet name="IODP3.1 REV" sheetId="17" r:id="rId10"/>
    <sheet name="IR1.1.1.1" sheetId="19" r:id="rId11"/>
    <sheet name="IR1.1.1.2" sheetId="21" r:id="rId12"/>
    <sheet name="IR1.1.2" sheetId="23" r:id="rId13"/>
    <sheet name="IR1.1.3.1" sheetId="25" r:id="rId14"/>
    <sheet name="IR1.1.3.2" sheetId="27" r:id="rId15"/>
    <sheet name="IR1.1.4" sheetId="29" r:id="rId16"/>
    <sheet name="IR1.1.5" sheetId="31" r:id="rId17"/>
    <sheet name="IR1.1.6.1" sheetId="32" r:id="rId18"/>
    <sheet name="IR1.1.6.2" sheetId="34" r:id="rId19"/>
    <sheet name="IR2.1.1" sheetId="36" r:id="rId20"/>
    <sheet name="IR2.1.2" sheetId="38" r:id="rId21"/>
    <sheet name="IR2.1.3" sheetId="40" r:id="rId22"/>
    <sheet name="IR2.1.4" sheetId="42" r:id="rId23"/>
    <sheet name="IR2.2.2" sheetId="44" r:id="rId24"/>
    <sheet name="IR2.2.3" sheetId="46" r:id="rId25"/>
    <sheet name="IR2.2.4" sheetId="48" r:id="rId26"/>
    <sheet name="IR2.2.5" sheetId="50" r:id="rId27"/>
    <sheet name="IR2.2.6" sheetId="52" r:id="rId28"/>
    <sheet name="IR2.2.7" sheetId="54" r:id="rId29"/>
    <sheet name="IR3.1.1" sheetId="56" r:id="rId30"/>
    <sheet name="IR3.1.2" sheetId="58" r:id="rId31"/>
    <sheet name="IR3.1.3" sheetId="60" r:id="rId32"/>
    <sheet name="IR3.1.4" sheetId="62" r:id="rId33"/>
    <sheet name="IR3.1.5" sheetId="64" r:id="rId34"/>
    <sheet name="IR3.1.6" sheetId="66" r:id="rId35"/>
    <sheet name="Feuil1" sheetId="68" state="hidden" r:id="rId36"/>
    <sheet name="Feuil2" sheetId="69" state="hidden" r:id="rId37"/>
  </sheets>
  <definedNames>
    <definedName name="_xlnm.Print_Area" localSheetId="1">'Cadre Rés'!$B$1:$R$55</definedName>
    <definedName name="_xlnm.Print_Area" localSheetId="19">'IR2.1.1'!$A$1:$O$33</definedName>
    <definedName name="_xlnm.Print_Area" localSheetId="20">'IR2.1.2'!$A$1:$O$33</definedName>
  </definedNames>
  <calcPr calcId="162913" iterateDelta="1E-4"/>
</workbook>
</file>

<file path=xl/calcChain.xml><?xml version="1.0" encoding="utf-8"?>
<calcChain xmlns="http://schemas.openxmlformats.org/spreadsheetml/2006/main">
  <c r="L18" i="34" l="1"/>
  <c r="L17" i="34"/>
  <c r="L16" i="34"/>
  <c r="L15" i="34"/>
  <c r="L14" i="34"/>
  <c r="L18" i="32"/>
  <c r="L17" i="32"/>
  <c r="L16" i="32"/>
  <c r="L15" i="32"/>
  <c r="L14" i="32"/>
  <c r="L19" i="36"/>
  <c r="L18" i="36"/>
  <c r="L17" i="36"/>
  <c r="L16" i="36"/>
  <c r="L15" i="36"/>
  <c r="L19" i="38"/>
  <c r="L18" i="38"/>
  <c r="L17" i="38"/>
  <c r="L16" i="38"/>
  <c r="L15" i="38"/>
  <c r="L18" i="40"/>
  <c r="L17" i="40"/>
  <c r="L16" i="40"/>
  <c r="L15" i="40"/>
  <c r="L14" i="40"/>
  <c r="L19" i="42"/>
  <c r="L18" i="42"/>
  <c r="L17" i="42"/>
  <c r="L16" i="42"/>
  <c r="L15" i="42"/>
  <c r="L19" i="44"/>
  <c r="L18" i="44"/>
  <c r="L17" i="44"/>
  <c r="L16" i="44"/>
  <c r="L15" i="44"/>
  <c r="L19" i="46"/>
  <c r="L18" i="46"/>
  <c r="L17" i="46"/>
  <c r="L16" i="46"/>
  <c r="L15" i="46"/>
  <c r="L19" i="48"/>
  <c r="L18" i="48"/>
  <c r="L17" i="48"/>
  <c r="L16" i="48"/>
  <c r="L15" i="48"/>
  <c r="L19" i="50"/>
  <c r="L18" i="50"/>
  <c r="L17" i="50"/>
  <c r="L16" i="50"/>
  <c r="L15" i="50"/>
  <c r="L19" i="54"/>
  <c r="L18" i="54"/>
  <c r="L17" i="54"/>
  <c r="L16" i="54"/>
  <c r="L15" i="54"/>
  <c r="L19" i="56"/>
  <c r="L18" i="56"/>
  <c r="L17" i="56"/>
  <c r="L16" i="56"/>
  <c r="L15" i="56"/>
  <c r="L19" i="58"/>
  <c r="L18" i="58"/>
  <c r="L17" i="58"/>
  <c r="L16" i="58"/>
  <c r="L15" i="58"/>
  <c r="L16" i="66"/>
  <c r="L17" i="66"/>
  <c r="L18" i="66"/>
  <c r="L19" i="66"/>
  <c r="L15" i="66"/>
  <c r="M19" i="66" l="1"/>
  <c r="M18" i="66"/>
  <c r="M17" i="66"/>
  <c r="M16" i="66"/>
  <c r="M15" i="66"/>
  <c r="D12" i="66"/>
  <c r="M19" i="64"/>
  <c r="L19" i="64" s="1"/>
  <c r="M18" i="64"/>
  <c r="L18" i="64" s="1"/>
  <c r="M17" i="64"/>
  <c r="L17" i="64" s="1"/>
  <c r="M16" i="64"/>
  <c r="L16" i="64" s="1"/>
  <c r="M15" i="64"/>
  <c r="L15" i="64" s="1"/>
  <c r="D12" i="64"/>
  <c r="D12" i="62"/>
  <c r="D12" i="60"/>
  <c r="M19" i="58"/>
  <c r="M18" i="58"/>
  <c r="M17" i="58"/>
  <c r="M16" i="58"/>
  <c r="M15" i="58"/>
  <c r="D12" i="58"/>
  <c r="C23" i="56"/>
  <c r="M19" i="56"/>
  <c r="M18" i="56"/>
  <c r="M17" i="56"/>
  <c r="M16" i="56"/>
  <c r="M15" i="56"/>
  <c r="D12" i="56"/>
  <c r="M19" i="54"/>
  <c r="M18" i="54"/>
  <c r="M17" i="54"/>
  <c r="M16" i="54"/>
  <c r="M15" i="54"/>
  <c r="D12" i="54"/>
  <c r="D12" i="52"/>
  <c r="M19" i="50"/>
  <c r="M18" i="50"/>
  <c r="M17" i="50"/>
  <c r="M16" i="50"/>
  <c r="M15" i="50"/>
  <c r="D12" i="50"/>
  <c r="M19" i="48"/>
  <c r="M18" i="48"/>
  <c r="M17" i="48"/>
  <c r="M16" i="48"/>
  <c r="M15" i="48"/>
  <c r="D12" i="48"/>
  <c r="M19" i="46"/>
  <c r="M18" i="46"/>
  <c r="M17" i="46"/>
  <c r="M16" i="46"/>
  <c r="M15" i="46"/>
  <c r="D12" i="46"/>
  <c r="M19" i="44"/>
  <c r="M18" i="44"/>
  <c r="M17" i="44"/>
  <c r="M16" i="44"/>
  <c r="M15" i="44"/>
  <c r="D12" i="44"/>
  <c r="M19" i="42"/>
  <c r="M18" i="42"/>
  <c r="M17" i="42"/>
  <c r="M16" i="42"/>
  <c r="M15" i="42"/>
  <c r="D12" i="42"/>
  <c r="M18" i="40"/>
  <c r="M17" i="40"/>
  <c r="M16" i="40"/>
  <c r="M15" i="40"/>
  <c r="M19" i="38"/>
  <c r="M18" i="38"/>
  <c r="M17" i="38"/>
  <c r="M16" i="38"/>
  <c r="M15" i="38"/>
  <c r="D12" i="38"/>
  <c r="M19" i="36"/>
  <c r="M18" i="36"/>
  <c r="M17" i="36"/>
  <c r="M16" i="36"/>
  <c r="M15" i="36"/>
  <c r="D12" i="36"/>
  <c r="G9" i="36"/>
  <c r="M18" i="34"/>
  <c r="M18" i="32"/>
  <c r="D12" i="31"/>
  <c r="M19" i="29"/>
  <c r="L19" i="29"/>
  <c r="M18" i="29"/>
  <c r="L18" i="29"/>
  <c r="M17" i="29"/>
  <c r="L17" i="29" s="1"/>
  <c r="M16" i="29"/>
  <c r="L16" i="29"/>
  <c r="L15" i="29"/>
  <c r="D12" i="29"/>
  <c r="M19" i="27"/>
  <c r="L19" i="27" s="1"/>
  <c r="M18" i="27"/>
  <c r="L18" i="27"/>
  <c r="M17" i="27"/>
  <c r="L17" i="27"/>
  <c r="M16" i="27"/>
  <c r="L16" i="27"/>
  <c r="M15" i="27"/>
  <c r="L15" i="27"/>
  <c r="D12" i="27"/>
  <c r="M19" i="25"/>
  <c r="L19" i="25"/>
  <c r="M18" i="25"/>
  <c r="L18" i="25"/>
  <c r="M17" i="25"/>
  <c r="L17" i="25"/>
  <c r="M16" i="25"/>
  <c r="L16" i="25"/>
  <c r="M15" i="25"/>
  <c r="L15" i="25"/>
  <c r="D12" i="25"/>
  <c r="M19" i="23"/>
  <c r="L19" i="23"/>
  <c r="M18" i="23"/>
  <c r="L18" i="23"/>
  <c r="M17" i="23"/>
  <c r="L17" i="23" s="1"/>
  <c r="M16" i="23"/>
  <c r="L16" i="23"/>
  <c r="M15" i="23"/>
  <c r="L15" i="23"/>
  <c r="D12" i="23"/>
  <c r="M19" i="21"/>
  <c r="L19" i="21"/>
  <c r="M18" i="21"/>
  <c r="L18" i="21"/>
  <c r="M17" i="21"/>
  <c r="L17" i="21"/>
  <c r="M16" i="21"/>
  <c r="L16" i="21"/>
  <c r="L15" i="21"/>
  <c r="D12" i="21"/>
  <c r="M19" i="19"/>
  <c r="L19" i="19"/>
  <c r="M18" i="19"/>
  <c r="L18" i="19" s="1"/>
  <c r="M17" i="19"/>
  <c r="L17" i="19"/>
  <c r="M16" i="19"/>
  <c r="L16" i="19"/>
  <c r="L15" i="19"/>
  <c r="D12" i="19"/>
  <c r="M18" i="17"/>
  <c r="L18" i="17"/>
  <c r="M17" i="17"/>
  <c r="L17" i="17"/>
  <c r="M16" i="17"/>
  <c r="L16" i="17"/>
  <c r="M15" i="17"/>
  <c r="L15" i="17" s="1"/>
  <c r="M14" i="17"/>
  <c r="L14" i="17"/>
  <c r="M18" i="15"/>
  <c r="L18" i="15"/>
  <c r="M17" i="15"/>
  <c r="L17" i="15"/>
  <c r="M16" i="15"/>
  <c r="L16" i="15"/>
  <c r="M15" i="15"/>
  <c r="L15" i="15"/>
  <c r="L14" i="15"/>
  <c r="M18" i="13"/>
  <c r="L18" i="13" s="1"/>
  <c r="M17" i="13"/>
  <c r="L17" i="13"/>
  <c r="M16" i="13"/>
  <c r="L16" i="13"/>
  <c r="L15" i="13"/>
  <c r="L14" i="13"/>
  <c r="L18" i="11"/>
  <c r="L17" i="11"/>
  <c r="L16" i="11"/>
  <c r="L15" i="11"/>
  <c r="L14" i="11"/>
  <c r="M18" i="9"/>
  <c r="L18" i="9"/>
  <c r="M17" i="9"/>
  <c r="L17" i="9"/>
  <c r="M16" i="9"/>
  <c r="L16" i="9"/>
  <c r="M15" i="9"/>
  <c r="L15" i="9" s="1"/>
  <c r="L14" i="9"/>
  <c r="M18" i="7"/>
  <c r="L18" i="7"/>
  <c r="M17" i="7"/>
  <c r="L17" i="7"/>
  <c r="M16" i="7"/>
  <c r="L16" i="7" s="1"/>
  <c r="M15" i="7"/>
  <c r="L15" i="7"/>
  <c r="L14" i="7"/>
  <c r="M18" i="5"/>
  <c r="L18" i="5"/>
  <c r="M17" i="5"/>
  <c r="L17" i="5" s="1"/>
  <c r="M16" i="5"/>
  <c r="L16" i="5"/>
  <c r="M15" i="5"/>
  <c r="L15" i="5"/>
  <c r="C9" i="5"/>
  <c r="M14" i="5" s="1"/>
  <c r="L14" i="5" s="1"/>
  <c r="S53" i="3"/>
  <c r="R53" i="3"/>
  <c r="Q53" i="3"/>
  <c r="S52" i="3"/>
  <c r="R52" i="3"/>
  <c r="Q52" i="3"/>
  <c r="R51" i="3"/>
  <c r="Q51" i="3"/>
  <c r="S50" i="3"/>
  <c r="R50" i="3"/>
  <c r="S49" i="3"/>
  <c r="R49" i="3"/>
  <c r="R48" i="3"/>
  <c r="Q48" i="3"/>
  <c r="S48" i="3" s="1"/>
  <c r="R45" i="3"/>
  <c r="Q45" i="3"/>
  <c r="S45" i="3" s="1"/>
  <c r="S44" i="3"/>
  <c r="R44" i="3"/>
  <c r="S43" i="3"/>
  <c r="R43" i="3"/>
  <c r="S42" i="3"/>
  <c r="R42" i="3"/>
  <c r="S41" i="3"/>
  <c r="R41" i="3"/>
  <c r="S40" i="3"/>
  <c r="R40" i="3"/>
  <c r="S39" i="3"/>
  <c r="R39" i="3"/>
  <c r="S38" i="3"/>
  <c r="R38" i="3"/>
  <c r="S37" i="3"/>
  <c r="R37" i="3"/>
  <c r="S36" i="3"/>
  <c r="R36" i="3"/>
  <c r="S34" i="3"/>
  <c r="R34" i="3"/>
  <c r="S32" i="3"/>
  <c r="R32" i="3"/>
  <c r="S31" i="3"/>
  <c r="R31" i="3"/>
  <c r="S28" i="3"/>
  <c r="R28" i="3"/>
  <c r="S27" i="3"/>
  <c r="R27" i="3"/>
  <c r="S26" i="3"/>
  <c r="R26" i="3"/>
  <c r="S25" i="3"/>
  <c r="R25" i="3"/>
  <c r="S24" i="3"/>
  <c r="R24" i="3"/>
  <c r="S23" i="3"/>
  <c r="R23" i="3"/>
  <c r="S22" i="3"/>
  <c r="R22" i="3"/>
  <c r="S21" i="3"/>
  <c r="R21" i="3"/>
  <c r="S20" i="3"/>
  <c r="R20" i="3"/>
  <c r="S16" i="3"/>
  <c r="R16" i="3"/>
  <c r="R14" i="3"/>
  <c r="Q14" i="3"/>
  <c r="S14" i="3" s="1"/>
  <c r="R13" i="3"/>
  <c r="Q13" i="3"/>
  <c r="S13" i="3" s="1"/>
  <c r="S12" i="3"/>
  <c r="R12" i="3"/>
  <c r="Q12" i="3"/>
  <c r="S11" i="3"/>
  <c r="R11" i="3"/>
  <c r="S10" i="3"/>
  <c r="R10" i="3"/>
  <c r="S8" i="3"/>
  <c r="R8" i="3"/>
  <c r="Q53" i="2"/>
  <c r="R53" i="2" s="1"/>
  <c r="P53" i="2"/>
  <c r="Q52" i="2"/>
  <c r="R52" i="2" s="1"/>
  <c r="P52" i="2"/>
  <c r="Q51" i="2"/>
  <c r="P51" i="2"/>
  <c r="Q50" i="2"/>
  <c r="R50" i="2" s="1"/>
  <c r="Q49" i="2"/>
  <c r="R49" i="2" s="1"/>
  <c r="Q48" i="2"/>
  <c r="P48" i="2"/>
  <c r="R48" i="2" s="1"/>
  <c r="R45" i="2"/>
  <c r="Q45" i="2"/>
  <c r="P45" i="2"/>
  <c r="Q44" i="2"/>
  <c r="R44" i="2" s="1"/>
  <c r="R43" i="2"/>
  <c r="Q43" i="2"/>
  <c r="R42" i="2"/>
  <c r="Q42" i="2"/>
  <c r="Q41" i="2"/>
  <c r="R41" i="2" s="1"/>
  <c r="Q40" i="2"/>
  <c r="R40" i="2" s="1"/>
  <c r="R39" i="2"/>
  <c r="Q39" i="2"/>
  <c r="R38" i="2"/>
  <c r="Q38" i="2"/>
  <c r="Q37" i="2"/>
  <c r="R37" i="2" s="1"/>
  <c r="Q36" i="2"/>
  <c r="R36" i="2" s="1"/>
  <c r="R34" i="2"/>
  <c r="Q34" i="2"/>
  <c r="R32" i="2"/>
  <c r="Q32" i="2"/>
  <c r="Q31" i="2"/>
  <c r="R31" i="2" s="1"/>
  <c r="Q28" i="2"/>
  <c r="R28" i="2" s="1"/>
  <c r="R27" i="2"/>
  <c r="Q27" i="2"/>
  <c r="R26" i="2"/>
  <c r="Q26" i="2"/>
  <c r="Q25" i="2"/>
  <c r="R25" i="2" s="1"/>
  <c r="Q24" i="2"/>
  <c r="R24" i="2" s="1"/>
  <c r="R23" i="2"/>
  <c r="Q23" i="2"/>
  <c r="R22" i="2"/>
  <c r="Q22" i="2"/>
  <c r="Q21" i="2"/>
  <c r="R21" i="2" s="1"/>
  <c r="Q20" i="2"/>
  <c r="R20" i="2" s="1"/>
  <c r="R16" i="2"/>
  <c r="Q16" i="2"/>
  <c r="Q14" i="2"/>
  <c r="R14" i="2" s="1"/>
  <c r="P14" i="2"/>
  <c r="Q13" i="2"/>
  <c r="R13" i="2" s="1"/>
  <c r="P13" i="2"/>
  <c r="Q12" i="2"/>
  <c r="P12" i="2"/>
  <c r="R12" i="2" s="1"/>
  <c r="R11" i="2"/>
  <c r="Q11" i="2"/>
  <c r="Q10" i="2"/>
  <c r="R10" i="2" s="1"/>
  <c r="Q8" i="2"/>
  <c r="R8" i="2" s="1"/>
</calcChain>
</file>

<file path=xl/comments1.xml><?xml version="1.0" encoding="utf-8"?>
<comments xmlns="http://schemas.openxmlformats.org/spreadsheetml/2006/main">
  <authors>
    <author>USER</author>
  </authors>
  <commentList>
    <comment ref="C53" authorId="0" shapeId="0">
      <text>
        <r>
          <rPr>
            <sz val="11"/>
            <color theme="1"/>
            <rFont val="Calibri"/>
            <family val="2"/>
            <charset val="1"/>
          </rPr>
          <t xml:space="preserve">USER:
Arthur
</t>
        </r>
      </text>
    </comment>
  </commentList>
</comments>
</file>

<file path=xl/comments2.xml><?xml version="1.0" encoding="utf-8"?>
<comments xmlns="http://schemas.openxmlformats.org/spreadsheetml/2006/main">
  <authors>
    <author>USER</author>
  </authors>
  <commentList>
    <comment ref="D53" authorId="0" shapeId="0">
      <text>
        <r>
          <rPr>
            <sz val="11"/>
            <color theme="1"/>
            <rFont val="Calibri"/>
            <family val="2"/>
            <charset val="1"/>
          </rPr>
          <t xml:space="preserve">USER:
Arthur
</t>
        </r>
      </text>
    </comment>
  </commentList>
</comments>
</file>

<file path=xl/comments3.xml><?xml version="1.0" encoding="utf-8"?>
<comments xmlns="http://schemas.openxmlformats.org/spreadsheetml/2006/main">
  <authors>
    <author>tc={CF61FF02-2E2E-4F8D-9E3C-1C16FE46856E}</author>
  </authors>
  <commentList>
    <comment ref="H5" authorId="0" shapeId="0">
      <text>
        <r>
          <rPr>
            <sz val="11"/>
            <color theme="1"/>
            <rFont val="Calibri"/>
            <family val="2"/>
            <charset val="1"/>
          </rPr>
          <t>[Threaded comment]
Your version of Excel allows you to read this threaded comment; however, any edits to it will get removed if the file is opened in a newer version of Excel. Learn more: https://go.microsoft.com/fwlink/?linkid=870924
Comment:
    Ou bien utilisation des drones?</t>
        </r>
      </text>
    </comment>
  </commentList>
</comments>
</file>

<file path=xl/sharedStrings.xml><?xml version="1.0" encoding="utf-8"?>
<sst xmlns="http://schemas.openxmlformats.org/spreadsheetml/2006/main" count="2528" uniqueCount="660">
  <si>
    <t xml:space="preserve"> CADRE DE RESULTATS </t>
  </si>
  <si>
    <t>Objectif de développment</t>
  </si>
  <si>
    <t>IODP1</t>
  </si>
  <si>
    <t>Ameliorer l'accès au marché des petits exploitants agricole dans les zones du projet</t>
  </si>
  <si>
    <t>IODP2</t>
  </si>
  <si>
    <t>Augmenter la productivité agricole des petits exploitants agricole dans les zones du projet</t>
  </si>
  <si>
    <t>IODP3</t>
  </si>
  <si>
    <t>Renforcer la capacité du secteur public agricole dans la réponse aux urgences agricoles eligibles</t>
  </si>
  <si>
    <t>Composante 1</t>
  </si>
  <si>
    <t xml:space="preserve"> Amélioration de la productivité agricole </t>
  </si>
  <si>
    <t>R1.1</t>
  </si>
  <si>
    <t>Appui direct aux exploitants</t>
  </si>
  <si>
    <t>Composante 2</t>
  </si>
  <si>
    <t>Accès aux marchés des petits exploitants</t>
  </si>
  <si>
    <t>R2.1</t>
  </si>
  <si>
    <t>Voies de dessertes agricoles rurales dans les zones ciblées</t>
  </si>
  <si>
    <t>R2.2</t>
  </si>
  <si>
    <t>Accès des petits exploitants au marché</t>
  </si>
  <si>
    <t>Composante 3</t>
  </si>
  <si>
    <t>Biens et services agricoles</t>
  </si>
  <si>
    <t>R3.1</t>
  </si>
  <si>
    <t>Capacités pour la fourniture de services publics agricoles renforcées</t>
  </si>
  <si>
    <t>Composante 4</t>
  </si>
  <si>
    <t xml:space="preserve"> Intervention d’urgence agricole</t>
  </si>
  <si>
    <t>R4.1</t>
  </si>
  <si>
    <t>Cadre des résultats du PNDA</t>
  </si>
  <si>
    <t>Unité de Mesure</t>
  </si>
  <si>
    <t>Référence</t>
  </si>
  <si>
    <t>Valeurs Cibles et Réalisations par année</t>
  </si>
  <si>
    <t>Source de données</t>
  </si>
  <si>
    <t>Méthodologie de Collecte</t>
  </si>
  <si>
    <t>Responsible pour la collecte</t>
  </si>
  <si>
    <t>Indicateurs de l’ODP</t>
  </si>
  <si>
    <t>Cibles</t>
  </si>
  <si>
    <t>Réalisations</t>
  </si>
  <si>
    <t>Cibles finales</t>
  </si>
  <si>
    <t>Réalisé total</t>
  </si>
  <si>
    <t>%</t>
  </si>
  <si>
    <t>Fréquence</t>
  </si>
  <si>
    <t>Indicateurs d'objectif de développement de projet</t>
  </si>
  <si>
    <t>Améliorer l’accès au marché des petits exploitants dans les zones du projet</t>
  </si>
  <si>
    <t>IODP1.1</t>
  </si>
  <si>
    <t>Ventes de produits agricoles et alimentaires par les petits exploitants</t>
  </si>
  <si>
    <t>Annuelle</t>
  </si>
  <si>
    <t>Rapport Opérateur Technique</t>
  </si>
  <si>
    <t>Enquêtes (aléatoires) sur la production des bénéficiaires qui ont reçu une subvention</t>
  </si>
  <si>
    <t>UNCP</t>
  </si>
  <si>
    <t>Augmenter la productivité agricole des petits exploitants agricoles dans les zones du projet</t>
  </si>
  <si>
    <t>IODP2.1.1</t>
  </si>
  <si>
    <t>Les agriculteurs adoptent une technologie agricole améliorée (CRI, nombre)</t>
  </si>
  <si>
    <t>Nombre</t>
  </si>
  <si>
    <t>Système d'information sur les bénéficiaires</t>
  </si>
  <si>
    <t>IODP2.1.2</t>
  </si>
  <si>
    <t>Les agriculteurs adoptent une technologie agricole améliorée — Femmes (CRI, nombre)</t>
  </si>
  <si>
    <t>IODP2.3</t>
  </si>
  <si>
    <t>Augmentation du rendement de maïs à travers l’incorporation de pratiques/technologies intelligentes face au climat</t>
  </si>
  <si>
    <t>Enquête sur les bénéficiaires</t>
  </si>
  <si>
    <t>IODP2.4</t>
  </si>
  <si>
    <t>Augmentation du rendement de manioc à travers l’incorporation de pratiques/technologies intelligentes face au climat</t>
  </si>
  <si>
    <t>IODP2.5</t>
  </si>
  <si>
    <t>Reduction du taux de mortalité animale au niveau  des petits exploitants cibles</t>
  </si>
  <si>
    <t>Renforcer la capacité du secteur public dans la réponse aux urgences agricoles éligibles</t>
  </si>
  <si>
    <t>IODP3.1</t>
  </si>
  <si>
    <t>Plans de contingence pour les risques liés au secteur agricole (y compris le COVID-19) (nombre)</t>
  </si>
  <si>
    <t>Rapport du Programme</t>
  </si>
  <si>
    <t>Rapport d'activités du Programme</t>
  </si>
  <si>
    <t>Indicateurs de Résultats Intermédiaires par Composante</t>
  </si>
  <si>
    <t>Composante 1: Amélioration de la productivité agricole</t>
  </si>
  <si>
    <t>Sous-composante 1.1 : Appui aux petits exploitants</t>
  </si>
  <si>
    <t>IR1.1.1.1</t>
  </si>
  <si>
    <t>Agriculteurs atteints avec des actifs ou des services agricoles (CRI, nombre)</t>
  </si>
  <si>
    <t>Semestrielle</t>
  </si>
  <si>
    <t>Données collectées par l'OT sur bénéficiaires de subvention qui ont reçu au moins la première tranche</t>
  </si>
  <si>
    <t>IR1.1.1.2</t>
  </si>
  <si>
    <t>Agriculteurs atteints avec des actifs ou des services agricoles — Femmes (CRI, nombre)</t>
  </si>
  <si>
    <t>IR1.1.2</t>
  </si>
  <si>
    <t>Fournisseurs d’intrants et de services agricoles proposant des technologies agricoles intelligente face au climat et/ou nutrition (nombre)</t>
  </si>
  <si>
    <t>Données collectées par l’OT sur les prestataires prives d'intrants et services qui sont sur le registre de subvention du PNDA</t>
  </si>
  <si>
    <t>IR1.1.3.1</t>
  </si>
  <si>
    <t>Petits exploitants agricoles inscrits au registre national d’agriculteurs (RNA) (nombre)</t>
  </si>
  <si>
    <t>Registre National des Agriculteurs (RNA)</t>
  </si>
  <si>
    <t>IR1.1.3.2</t>
  </si>
  <si>
    <t>Petits exploitants agricoles inscrits au registre national d’agriculteurs (RNA) - Femmes (nombre)</t>
  </si>
  <si>
    <t>IR1.1.4</t>
  </si>
  <si>
    <t>Superficie sous pratiques agricoles intelligentes face au climat dans les provinces ciblées (hectare)</t>
  </si>
  <si>
    <t>Ha</t>
  </si>
  <si>
    <t>Registre National des Agriculteurs</t>
  </si>
  <si>
    <t>RNA</t>
  </si>
  <si>
    <t>IR1.1.5</t>
  </si>
  <si>
    <t>Paquets techniques AIC/AIN proposés dans la zone du projet</t>
  </si>
  <si>
    <t>IR1.1.6.1</t>
  </si>
  <si>
    <t>Bénéficiaires directs du projet</t>
  </si>
  <si>
    <t>IR1.1.6.2</t>
  </si>
  <si>
    <t>Bénéficiaires directs du projet - Femmes</t>
  </si>
  <si>
    <t>Composante 2: Accès des petits exploitants au marché</t>
  </si>
  <si>
    <t>Sous-composante 2.1 : Infrastructures rurales</t>
  </si>
  <si>
    <t>IR2.1.1</t>
  </si>
  <si>
    <t>Routes réhabilitées (CRI , kilomètres)</t>
  </si>
  <si>
    <t>Km</t>
  </si>
  <si>
    <t>Rapport OVDA</t>
  </si>
  <si>
    <t>Système d'information de l'OVDA</t>
  </si>
  <si>
    <t>OVDA/UNCP</t>
  </si>
  <si>
    <t>IR2.1.2</t>
  </si>
  <si>
    <t xml:space="preserve">Nombre de CLER fonctionnel </t>
  </si>
  <si>
    <t>IR2.1.3</t>
  </si>
  <si>
    <t>Nombre de provinces sélectionnées soumettant des plans annuels d'entretien routier au Fonds national de développement routier (FONER)</t>
  </si>
  <si>
    <t>Oui/Non</t>
  </si>
  <si>
    <t>IR2.1.4</t>
  </si>
  <si>
    <t>Superficie équipée en infrastructure d'irrigation</t>
  </si>
  <si>
    <t>Sous-composante 2.2 : Accès des petits exploitants au marché</t>
  </si>
  <si>
    <t>IR2.2.1.1</t>
  </si>
  <si>
    <t>Bénéficiaires atteints par les services financiers (CRI, nombre)</t>
  </si>
  <si>
    <t>IR2.2.1.2</t>
  </si>
  <si>
    <t>Bénéficiaires atteints par les services financiers - Femmes (CRI, nombre)</t>
  </si>
  <si>
    <t>Rapport BCC</t>
  </si>
  <si>
    <t>Comptes de BCC et UNCP</t>
  </si>
  <si>
    <t>Gestionnaire du BCC/UNCP</t>
  </si>
  <si>
    <t>IR2.2.2</t>
  </si>
  <si>
    <t>Prestataire de services financiers (AVEC) atteint avec une assistance technique</t>
  </si>
  <si>
    <t>Annuel</t>
  </si>
  <si>
    <t>Données collectées par l’Opérateur techniques sur les agriculteurs bénéficiaires</t>
  </si>
  <si>
    <t>IR2.2.3</t>
  </si>
  <si>
    <t>Volume de prêts au moyen de lignes de crédit accordées par le programme aux provinces ciblées (montant USD)</t>
  </si>
  <si>
    <t>Montant</t>
  </si>
  <si>
    <t>Rapport BCC sur la ligne de crédit</t>
  </si>
  <si>
    <t>BCC Système de gestion des crédits aux IFP</t>
  </si>
  <si>
    <t>BCC/UNCP</t>
  </si>
  <si>
    <t>IR2.2.4.1</t>
  </si>
  <si>
    <t>Nombre de PME ayant un prêt ou une marge de crédit (CRI, nombre)</t>
  </si>
  <si>
    <t>Rapport du FGC</t>
  </si>
  <si>
    <t>Compte du FGC</t>
  </si>
  <si>
    <t>Gestionnaire du FGC</t>
  </si>
  <si>
    <t>IR2.2.4.2</t>
  </si>
  <si>
    <t>Nombre de PME ayant un prêt ou une marge de crédit — % dirigé par des femmes</t>
  </si>
  <si>
    <t>IR2.2.5.1</t>
  </si>
  <si>
    <t>Nombre de personnes avec les polices de meso assurance (CRI, nombre)</t>
  </si>
  <si>
    <t>IR2.2.5.2</t>
  </si>
  <si>
    <t>Nombre de personnes avec les polices de meso assurance — Femmes (CRI, nombre)</t>
  </si>
  <si>
    <t>Données collectées par l’Opérateur technique sur les bénéficiaires de micro assurance</t>
  </si>
  <si>
    <t>IR2.2.6</t>
  </si>
  <si>
    <t>Bénéficiaires ayant reçu une éducation financière (nombre)</t>
  </si>
  <si>
    <t>IR2.2.7</t>
  </si>
  <si>
    <t>Plans d'affaires mis en œuvre par les agromultiplicateurs et organisations d'agriculteurs</t>
  </si>
  <si>
    <t>Composante 3: Biens et services publics agricoles</t>
  </si>
  <si>
    <t>Sous-composante 3.1 : Renforcement des capacités pour la fourniture de services publics agricoles</t>
  </si>
  <si>
    <t>IR3.1.1</t>
  </si>
  <si>
    <t>Traitement des réclamations du Service de réparation des griefs dans les délais requis (GRM ) (%)</t>
  </si>
  <si>
    <t>Rapport RNA</t>
  </si>
  <si>
    <t>Système d'information du RNA</t>
  </si>
  <si>
    <t>RNA/UNCP</t>
  </si>
  <si>
    <t>IR3.1.2</t>
  </si>
  <si>
    <t>Campagnes de vaccination animale dans les provinces ciblées (nombre)</t>
  </si>
  <si>
    <t>IR3.1.3</t>
  </si>
  <si>
    <t>Programmes de R&amp;D agricole sur l’AIC et l’AIN (nombre)</t>
  </si>
  <si>
    <t>Rapports Opérateur Technique</t>
  </si>
  <si>
    <t>Rapport Direction de la Sante Animale du Ministère de l'Agriculture</t>
  </si>
  <si>
    <t>IR3.1.4</t>
  </si>
  <si>
    <t>Opérationnalisation du registre national d’agriculteurs (Oui/Non)</t>
  </si>
  <si>
    <t>Non</t>
  </si>
  <si>
    <t>Oui</t>
  </si>
  <si>
    <t>Rapports Opérateur Technique et INERA</t>
  </si>
  <si>
    <t>Rapport INERA et visite sur le terrain par l'OT</t>
  </si>
  <si>
    <t>INERA/UNCP</t>
  </si>
  <si>
    <t>IR3.1.5</t>
  </si>
  <si>
    <t>Cas d’exploitation et d’abus sexuels/de harcèlement sexuel traité au service (%)</t>
  </si>
  <si>
    <t>Rapports OT/UNCP/UPEP sur les GRM</t>
  </si>
  <si>
    <t>GRM Système d'information</t>
  </si>
  <si>
    <t>OT/UNCP/UPEP</t>
  </si>
  <si>
    <t>IR3.1.6</t>
  </si>
  <si>
    <t>Les exploitants qui ont reçu des appuis pour l'adoption des Ptech sont satisfaits</t>
  </si>
  <si>
    <t>Données collectées par l'OT/UNCP/UPEP</t>
  </si>
  <si>
    <t>Composante 4 : Intervention d’urgence agricole</t>
  </si>
  <si>
    <t>Nombre de plans de contingence des risques agricoles préparés et approuvés</t>
  </si>
  <si>
    <t>a enrichir ou pas?</t>
  </si>
  <si>
    <t>CADRE DES RÉSULTATS DU PNDA — VERSION REFORMULÉE (v6) : pourcentages normalisés en base 100, libellés courts ajoutés, unité de IR2.1.3 et libellé de IR3.1.6 corrigés.</t>
  </si>
  <si>
    <t>Libellé court</t>
  </si>
  <si>
    <t>Ventes des petits exploitants</t>
  </si>
  <si>
    <t>Adoption de technologies améliorées</t>
  </si>
  <si>
    <t>Adoption de technologies améliorées — Femmes</t>
  </si>
  <si>
    <t>Rendement du maïs (pratiques AIC)</t>
  </si>
  <si>
    <t>Rendement du manioc (pratiques AIC)</t>
  </si>
  <si>
    <t>Mortalité animale (réduction)</t>
  </si>
  <si>
    <t>Plans de contingence approuvés</t>
  </si>
  <si>
    <t>Agriculteurs atteints (actifs ou services)</t>
  </si>
  <si>
    <t>Agriculteurs atteints — Femmes</t>
  </si>
  <si>
    <t>Fournisseurs d’intrants proposant l’AIC/AIN</t>
  </si>
  <si>
    <t>Exploitants inscrits au RNA</t>
  </si>
  <si>
    <t>Exploitants inscrits au RNA — Femmes</t>
  </si>
  <si>
    <t>Superficie sous pratiques AIC</t>
  </si>
  <si>
    <t>Paquets techniques AIC/AIN proposés</t>
  </si>
  <si>
    <t>Bénéficiaires directs — Femmes</t>
  </si>
  <si>
    <t>Routes agricoles réhabilitées</t>
  </si>
  <si>
    <t>CLER fonctionnels</t>
  </si>
  <si>
    <t>Provinces soumettant un plan FONER</t>
  </si>
  <si>
    <t>Provinces ciblées ayant soumis leur plan annuel d’entretien routier au FONER (nombre)</t>
  </si>
  <si>
    <t>Superficie équipée en irrigation</t>
  </si>
  <si>
    <t>Bénéficiaires des services financiers</t>
  </si>
  <si>
    <t>Bénéficiaires des services financiers — Femmes</t>
  </si>
  <si>
    <t>AVEC appuyées techniquement</t>
  </si>
  <si>
    <t>Volume de prêts sur ligne de crédit</t>
  </si>
  <si>
    <t>PME ayant un prêt ou une marge de crédit</t>
  </si>
  <si>
    <t>PME dirigées par des femmes (part)</t>
  </si>
  <si>
    <t>Personnes couvertes en méso-assurance</t>
  </si>
  <si>
    <t>Personnes couvertes en méso-assurance — Femmes</t>
  </si>
  <si>
    <t>Bénéficiaires formés en éducation financière</t>
  </si>
  <si>
    <t>Plans d’affaires mis en œuvre</t>
  </si>
  <si>
    <t>Réclamations GRM traitées dans les délais</t>
  </si>
  <si>
    <t>Campagnes de vaccination animale</t>
  </si>
  <si>
    <t>Programmes de R&amp;D sur l’AIC et l’AIN</t>
  </si>
  <si>
    <t>Opérationnalisation du RNA</t>
  </si>
  <si>
    <t>Cas EAS/HS traités</t>
  </si>
  <si>
    <t>Satisfaction des exploitants appuyés</t>
  </si>
  <si>
    <t>Part des exploitants appuyés se déclarant satisfaits des paquets techniques reçus (%)</t>
  </si>
  <si>
    <t>FICHE D'OPERATIONNALISATION  DES INDICATEURS DE RESULTATS DU PROJET PNDA</t>
  </si>
  <si>
    <t>Indicateur</t>
  </si>
  <si>
    <t>Sites</t>
  </si>
  <si>
    <t>Références et cibles</t>
  </si>
  <si>
    <t xml:space="preserve">Méthode de collecte et rapportage  des données </t>
  </si>
  <si>
    <t>Hypothèses critiques</t>
  </si>
  <si>
    <t xml:space="preserve">Valeur de réf. au 31/12/2023 </t>
  </si>
  <si>
    <t>Valeurs cibles / an</t>
  </si>
  <si>
    <t>Source des données et méthode</t>
  </si>
  <si>
    <t>Responsable</t>
  </si>
  <si>
    <t>Non adhesion de l'OT ou des petits exploitants agricoles</t>
  </si>
  <si>
    <t>Kwilu</t>
  </si>
  <si>
    <t>Semestrielle / annuelle</t>
  </si>
  <si>
    <t>Enquête sur la production</t>
  </si>
  <si>
    <t>Kasai</t>
  </si>
  <si>
    <t>Kasai Central</t>
  </si>
  <si>
    <t>Kongo Central</t>
  </si>
  <si>
    <t>Total</t>
  </si>
  <si>
    <t>Objectif de développement du projet (ODP)</t>
  </si>
  <si>
    <t>Indicateur de performance</t>
  </si>
  <si>
    <t xml:space="preserve">Ventes des produits agricoles et alimentaires  par les petits exploitants </t>
  </si>
  <si>
    <t>Description : 
•	Cet indicateur mesure le taux d’augmentation du surplus commercialisé des petits exploitants Agriculteurs (maïs, manioc, arachide et Soja), petits éleveurs (Poules et caprins), pisciculteurs (vente des poissons des étangs) etc.) soutenus par le projet</t>
  </si>
  <si>
    <t>DONNEES DE PERFORMANCE</t>
  </si>
  <si>
    <t>ANNEE</t>
  </si>
  <si>
    <t>REALISATION</t>
  </si>
  <si>
    <t xml:space="preserve">TAUX </t>
  </si>
  <si>
    <t>CIBLE/AN</t>
  </si>
  <si>
    <t>2023 (Référence)</t>
  </si>
  <si>
    <t>1. GROUPES CIBLES</t>
  </si>
  <si>
    <t>2. OBJECTIF</t>
  </si>
  <si>
    <t>3. JUSTIFICATION</t>
  </si>
  <si>
    <t>Permet de mesurer  les surplus commercialisé des petits exploitants (agriculteurs, éleveurs et pisciculteurs) appuyés par le Projet.</t>
  </si>
  <si>
    <t xml:space="preserve">4. HYPOTHESE CRITIQUE </t>
  </si>
  <si>
    <t>Non adhésion de l'OT ou les petits exploitants eux mêmes.</t>
  </si>
  <si>
    <t>5. DESAGREGATION/ EN GENRE/TERRITOIRE</t>
  </si>
  <si>
    <t>Tous (hommes et femmes),Femmes (adultes et jeunes),Jeunes (hommes et femmes) de 18-35ans par opposition aux adultes</t>
  </si>
  <si>
    <t>6. ELEMENT DE CALCUL</t>
  </si>
  <si>
    <t xml:space="preserve">Soustraire la Qté vendues de l'année en cours de la Qté de l'année precedente, diviser la difference par la Qté de l'année precedente </t>
  </si>
  <si>
    <t>7. FORMULE MATHEMATIQUE</t>
  </si>
  <si>
    <t>((Qn-Qn-1)/Qn-1)*100</t>
  </si>
  <si>
    <t>8. NIVEAU DE VALIDATION</t>
  </si>
  <si>
    <t>Province ,National</t>
  </si>
  <si>
    <t>9. SOURCE DE DONNEES</t>
  </si>
  <si>
    <t>Enquêtes ménages, données organisations de producteurs, suivi marché</t>
  </si>
  <si>
    <t>10. METHODE DE COLLECTE</t>
  </si>
  <si>
    <t>11. FREQUENCE</t>
  </si>
  <si>
    <t>12. OUTILS DE MESURE</t>
  </si>
  <si>
    <t>Fiche</t>
  </si>
  <si>
    <t>13. RESPONSABLE DE COLLECTE</t>
  </si>
  <si>
    <t>14. COMMENTAIRES/ OBSERVATIONS</t>
  </si>
  <si>
    <t>CONTRÔLE QUALITÉ / VALIDATION (Étude de référence IDEA 2026, Tableau 19 — Commercialisation et accès au marché) : Contrôle par culture, territoire, volumes déclarés et débouchés disponibles</t>
  </si>
  <si>
    <t>FICHE D'OPÉRATIONNALISATION DES INDICATEURS — VERSION REFORMULÉE (v6) — IODP1.1 · Ventes des petits exploitants</t>
  </si>
  <si>
    <t>Description :
Produire davantage sans pouvoir vendre n'améliore pas le revenu des ménages. Cet indicateur est le seul du cadre qui relie la production à un débouché commercial ; il valide ou infirme la théorie du changement du projet sur le volet marché.</t>
  </si>
  <si>
    <t>IODP2.1</t>
  </si>
  <si>
    <t>Non adhesion de l'OT ou des petits exploitants agricoles,</t>
  </si>
  <si>
    <t>Campagne agricole / vague de suivi</t>
  </si>
  <si>
    <t>SI ,Rapport OT</t>
  </si>
  <si>
    <t>Agriculteurs adoptent une technologie améliorée</t>
  </si>
  <si>
    <t>Description : 
Cet indicateur mesure les petits exploitants agricoles (agriculteurs, éleveurs, pisiculteurs)qui ont adoptés une technologie améliorée promue par les opérations du programme.</t>
  </si>
  <si>
    <t>CIBLE ANNUELLE</t>
  </si>
  <si>
    <t>Les petits exploitants agricoles</t>
  </si>
  <si>
    <t>Agmenter la productivité agricole des petits exploitants agricoles</t>
  </si>
  <si>
    <t xml:space="preserve">Permet de mesurer le nombre de petits exploitants ayant adoptés une technologies ameliorés promue par le programme </t>
  </si>
  <si>
    <t>4. HYPOTHESE CRITIQUE</t>
  </si>
  <si>
    <t>Non adhesion des petits exploitants</t>
  </si>
  <si>
    <t>5. DESAGREGE PAR</t>
  </si>
  <si>
    <t>Province/Territoire/Genre</t>
  </si>
  <si>
    <t>Dénombrement</t>
  </si>
  <si>
    <t>Cumul</t>
  </si>
  <si>
    <t>Province</t>
  </si>
  <si>
    <t>9. SOURCE  DES DONNEES</t>
  </si>
  <si>
    <t>Enquêtes ménages, suivi opérateurs techniques</t>
  </si>
  <si>
    <t>14. COMMENTAIRES / OBSERVATIONS</t>
  </si>
  <si>
    <t>DONNÉES DÉSAGRÉGÉES PAR SEXE — Agriculteurs adoptent une technologie améliorée — Femmes : Valeur de référence = 0 ; Cibles annuelles 2024=10000, 2025=50000, 2026=100000, 2027=150000. || CONTRÔLE QUALITÉ / VALIDATION (Étude de référence IDEA 2026, Tableau 19 — Adoption des technologies promues) : Vérification des définitions, cohérence avec les appuis effectivement distribués</t>
  </si>
  <si>
    <t>FICHE D'OPÉRATIONNALISATION DES INDICATEURS — VERSION REFORMULÉE (v6) — IODP2.1.1 · Adoption de technologies améliorées</t>
  </si>
  <si>
    <t>Description :
La distribution d'intrants ou la formation ne garantit pas l'adoption. Cet indicateur mesure le passage de l'offre à l'usage, étape sans laquelle les gains de rendement attendus ne se matérialisent pas.</t>
  </si>
  <si>
    <t>Petits exploitants agricoles ayant reçu un appui du projet et mettant effectivement en œuvre au moins une technologie agricole améliorée sur leur exploitation.</t>
  </si>
  <si>
    <t>IODP2.2</t>
  </si>
  <si>
    <t>Agriculteurs adptent une technologie améliorée (femmes)</t>
  </si>
  <si>
    <t>Description : 
Cet indicateur mesure le nombre d'exploitants agricoles femmes (agriculteurs, éleveurs et pisciculteurs) qui ont adoptés une technologie améliorée promue par les opérations du programme,</t>
  </si>
  <si>
    <t>Province/Territoire</t>
  </si>
  <si>
    <t>11. FREQUENCE: Annuelle</t>
  </si>
  <si>
    <t>FICHE D'OPÉRATIONNALISATION DES INDICATEURS — VERSION REFORMULÉE (v6) — IODP2.1.2 · Adoption de technologies améliorées — Femmes</t>
  </si>
  <si>
    <t>Description :
Les femmes assurent une part majoritaire du travail agricole en RDC mais accèdent moins aux intrants et aux formations. Suivre séparément leur taux d'adoption permet de détecter un décrochage et d'ajuster le ciblage en cours de projet.</t>
  </si>
  <si>
    <t xml:space="preserve">Non adoption des technolgies agricoles améliorées par les petits exploitants </t>
  </si>
  <si>
    <t>Vague d'enquête / campagne agricole</t>
  </si>
  <si>
    <t>Enquete sur la production</t>
  </si>
  <si>
    <t>Rendement des maïs à travers l'incorporation des pratiques/technologies intelligentes face au climat</t>
  </si>
  <si>
    <t xml:space="preserve">Description: 
Cet indicateur mesure l'augmentation en pourcentage du rendement de maïs grâce à l'incorporation de pratiques/technologies intelligentes face au climat </t>
  </si>
  <si>
    <t>1. GROUPES CIBLEES</t>
  </si>
  <si>
    <t>Augmenter la productivité agricoles des petits exploitants agricoles dans les zones du projet</t>
  </si>
  <si>
    <t>Permet de mesurer en pourcentage le rendement de maïs grâce à l'incorporation des pratiques/technologies intelligentes face au climat.</t>
  </si>
  <si>
    <t xml:space="preserve">Non adoption des technolgies agricoles améliorées par les petits exploitants   </t>
  </si>
  <si>
    <t>6. ELEMENTS DE CALCUL</t>
  </si>
  <si>
    <t xml:space="preserve">Différence entre le rendement de l'année de réf et celui après l'incorporation des pratiques, permettant de calculer l'augmentation en pourcentage du rendement de maïs. </t>
  </si>
  <si>
    <t xml:space="preserve">((Rendement année visée - Rendement année de réf.) / Rendement année de réf.) x 100) </t>
  </si>
  <si>
    <t xml:space="preserve">Province </t>
  </si>
  <si>
    <t>9. SOURCE DES DONNEES</t>
  </si>
  <si>
    <t>Enquêtes ménages, dispositifs de suivi agricole</t>
  </si>
  <si>
    <t xml:space="preserve">Enquête sur la production des agriculteurs subventionnés </t>
  </si>
  <si>
    <t>UPEP, services agricoles, équipes S&amp;E</t>
  </si>
  <si>
    <t xml:space="preserve">14. COMMENTAIRES / OBSERVATIONS : </t>
  </si>
  <si>
    <t>CONTRÔLE QUALITÉ / VALIDATION (Étude de référence IDEA 2026, Tableau 19 — Rendements par culture) : Contrôle des superficies plantées/récoltées, volumes récoltés, nombre de prélèvements pour les cultures à récolte progressive, densité de plantation et valeurs aberrantes</t>
  </si>
  <si>
    <t>FICHE D'OPÉRATIONNALISATION DES INDICATEURS — VERSION REFORMULÉE (v6) — IODP2.3 · Rendement du maïs (pratiques AIC)</t>
  </si>
  <si>
    <t>Description :
C'est l'indicateur qui teste la promesse centrale du projet sur la productivité. Un gain nul ou faible signalerait un paquet technique inadapté ou une mise en œuvre incomplète, et justifierait sa révision.</t>
  </si>
  <si>
    <t>Rendement de manioc à travers l'incorporation des pratiques/technologies intelligentes face au climat</t>
  </si>
  <si>
    <t xml:space="preserve">Description: 
Cet indicateur mesure en pourcentage l'augmentation du rendement de manioc  grace à l'incorporation de pratiques/technologies intelligentes face au climat </t>
  </si>
  <si>
    <t>Données de performance</t>
  </si>
  <si>
    <t>Augmenter la productivité agricoles des petits exploitants agricole dans les zones du projet</t>
  </si>
  <si>
    <t>Permet de mesurer  le rendement de manioc grace à l'incorporation des pratiques/technologies intelligents face au climat .</t>
  </si>
  <si>
    <t>FICHE D'OPÉRATIONNALISATION DES INDICATEURS — VERSION REFORMULÉE (v6) — IODP2.4 · Rendement du manioc (pratiques AIC)</t>
  </si>
  <si>
    <t>Mesurer le gain de rendement attribuable aux pratiques climato-intelligentes sur la filière manioc, principale culture vivrière des zones du projet.</t>
  </si>
  <si>
    <t>Description :
Le manioc constitue la base de la sécurité alimentaire dans les provinces couvertes. Un gain de rendement y a un effet direct sur la disponibilité alimentaire des ménages, au-delà du seul revenu.</t>
  </si>
  <si>
    <t>Non adoption des campagnes de vaccination par  les petits exploitants agricoles (éleveurs)</t>
  </si>
  <si>
    <t>Après événement / semestrielle</t>
  </si>
  <si>
    <t xml:space="preserve">Taux de mortalité animale </t>
  </si>
  <si>
    <t>Description: 
Cet indicateur mesure la réduction du taux de mortalité animale (poules et caprins) grâce aux campagnes de vaccination prévues</t>
  </si>
  <si>
    <t>Permet de mesurer  la reduction du taux de mortalité animale grâce aux campagnes de vaccination prévues.</t>
  </si>
  <si>
    <t>Nombre total des bêtes, Nombre total des décès</t>
  </si>
  <si>
    <t xml:space="preserve">(Nombre des décès / nombre total des bêtes) x 100 </t>
  </si>
  <si>
    <t>Enquêtes ménages, reporting d'urgence, dispositifs locaux</t>
  </si>
  <si>
    <t xml:space="preserve">10. METHODE DE COLLECTE </t>
  </si>
  <si>
    <t>UPEP, UNCP, acteurs locaux</t>
  </si>
  <si>
    <t>CONTRÔLE QUALITÉ / VALIDATION (Étude de référence IDEA 2026, Tableau 19 — Réponse aux chocs et assistance reçue) : Vérification du type de choc, délai d'assistance, couverture et bénéficiaires servis</t>
  </si>
  <si>
    <t>FICHE D'OPÉRATIONNALISATION DES INDICATEURS — VERSION REFORMULÉE (v6) — IODP2.5 · Mortalité animale (réduction)</t>
  </si>
  <si>
    <t>Mesurer la réduction effective des pertes animales chez les éleveurs appuyés, qui traduit l'efficacité combinée de la vaccination, de la prophylaxie et des conseils zootechniques diffusés.</t>
  </si>
  <si>
    <t>Description :
La mortalité du petit élevage est la première cause de décapitalisation des ménages ruraux. La réduire protège l'épargne des ménages plus sûrement qu'une augmentation de la production.</t>
  </si>
  <si>
    <t>Petits éleveurs bénéficiaires du projet détenant des caprins ou de la volaille dans les provinces couvertes.</t>
  </si>
  <si>
    <t xml:space="preserve"> </t>
  </si>
  <si>
    <t>Non implication des services publics de l'Etat.</t>
  </si>
  <si>
    <t>Rapport du programme</t>
  </si>
  <si>
    <t>Plan de contingence pour le risque lié au secteur agricole</t>
  </si>
  <si>
    <t xml:space="preserve">Description: 
Cet indicateur mesure l'augmentation du nombre de plans de contingence approuvés pour  la réponse aux urgences liées au secteur agricole(y compris le COVID 19) </t>
  </si>
  <si>
    <t xml:space="preserve"> Les petits exploitants agricoles</t>
  </si>
  <si>
    <t>Permet de mesurer  l'augmentation du nombre de plans de contingence approuvés pour la réponse aux urgences liées au secteur agricole (y compris le COVID 19) .</t>
  </si>
  <si>
    <t>N/A</t>
  </si>
  <si>
    <t>National</t>
  </si>
  <si>
    <t>FICHE D'OPÉRATIONNALISATION DES INDICATEURS — VERSION REFORMULÉE (v6) — IODP3.1 · Plans de contingence approuvés</t>
  </si>
  <si>
    <t>Actes d'approbation des plans de contingence ; rapports d'activité du programme ; archives du Secrétariat Général à l'Agriculture.</t>
  </si>
  <si>
    <t>Description :
La Composante 4 du projet prévoit un mécanisme d'intervention d'urgence. Sans plan de contingence approuvé en amont, ce mécanisme ne peut être activé dans les délais utiles.</t>
  </si>
  <si>
    <t>Recensement documentaire auprès des services concernés, avec collecte de la copie de l'acte d'approbation comme pièce justificative obligatoire.</t>
  </si>
  <si>
    <t>IR1.1.1</t>
  </si>
  <si>
    <t>Non adhésion des petits exploitants agricoles</t>
  </si>
  <si>
    <t>Trimestrielle / semestrielle</t>
  </si>
  <si>
    <t>Rapport OT</t>
  </si>
  <si>
    <t>R.1.1</t>
  </si>
  <si>
    <t>Agriculteurs atteints par des actifs ou des services agricoles</t>
  </si>
  <si>
    <t>DONNEES DE PRODUCTION</t>
  </si>
  <si>
    <t>Permet de mesurer le nombre des petits exploitants ayant bénéficié d'actifs ou services agricoles (les cultures, le bétail, etc) grâce à l'appui du programme</t>
  </si>
  <si>
    <t>Povince/Territoire</t>
  </si>
  <si>
    <t>Enquêtes ménages, données des services publics agricoles</t>
  </si>
  <si>
    <t xml:space="preserve">Données collectées par l'OT pour les agriculteurs ayant reçu au moins la première partie de leur subenventions  </t>
  </si>
  <si>
    <t>UPEP, services techniques provinciaux</t>
  </si>
  <si>
    <t>DONNÉES DÉSAGRÉGÉES PAR SEXE — Agriculteurs atteints par des actifs ou des services agricoles — Femmes : Valeur de référence = n.d. ; Cibles annuelles 2024=10000, 2025=50000, 2026=100000, 2027=150000. || CONTRÔLE QUALITÉ / VALIDATION (Étude de référence IDEA 2026, Tableau 19 — Accès aux services agricoles) : Croisement entre déclarations des ménages et registres de services fournis</t>
  </si>
  <si>
    <t>FICHE D'OPÉRATIONNALISATION DES INDICATEURS — VERSION REFORMULÉE (v6) — IR1.1.1.1 · Agriculteurs atteints (actifs ou services)</t>
  </si>
  <si>
    <t>Description :
C'est l'indicateur de portée du projet, exigé au titre des indicateurs institutionnels de la Banque Mondiale. Il constitue le dénominateur naturel des taux d'adoption et de satisfaction mesurés par ailleurs.</t>
  </si>
  <si>
    <t>Agriculteurs atteints par des actifs ou des services agricoles (femmes)</t>
  </si>
  <si>
    <t>FICHE D'OPÉRATIONNALISATION DES INDICATEURS — VERSION REFORMULÉE (v6) — IR1.1.1.2 · Agriculteurs atteints — Femmes</t>
  </si>
  <si>
    <t>Description :
L'égalité d'accès aux actifs productifs est un engagement du projet vis-à-vis du bailleur. Un suivi séparé permet de corriger le ciblage en cours d'exécution plutôt qu'au moment du bilan.</t>
  </si>
  <si>
    <t>Non adhésion des fournisseurs aux technologies AIC et AIN</t>
  </si>
  <si>
    <t>À chaque campagne</t>
  </si>
  <si>
    <t>Fournisseurs d'intrants et de services agricoles offrant des technologies AIC ou AIN</t>
  </si>
  <si>
    <t xml:space="preserve"> Les fournisseurs d'intrants</t>
  </si>
  <si>
    <t>Permet de mesurer le nombre des fournisseurs d'intrants et prestataires du secteur privé offrant des technologies AIC et AIN dans la zone du projet</t>
  </si>
  <si>
    <t>Bases opérateurs, RNA, suivi UPEP</t>
  </si>
  <si>
    <t>Données collectées par l’OT sur les prestataires privés d'intrants et services qui sont sur le registre de subvention du PNDA</t>
  </si>
  <si>
    <t>Opérateurs techniques, DANTIC, UPEP</t>
  </si>
  <si>
    <t>CONTRÔLE QUALITÉ / VALIDATION (Étude de référence IDEA 2026, Tableau 19 — Distribution et utilisation des paquets techniques) : Concordance entre bénéficiaires enregistrés, cartes, distributions, utilisation effective et traçabilité dans le RNA / bases de suivi</t>
  </si>
  <si>
    <t>FICHE D'OPÉRATIONNALISATION DES INDICATEURS — VERSION REFORMULÉE (v6) — IR1.1.2 · Fournisseurs d’intrants proposant l’AIC/AIN</t>
  </si>
  <si>
    <t>Description :
L'appui direct du projet cessera à sa clôture. Si aucun fournisseur privé ne propose ces technologies, l'adoption retombera. Cet indicateur mesure la construction du marché, pas la distribution gratuite.</t>
  </si>
  <si>
    <t>IR1.1.3</t>
  </si>
  <si>
    <t>Non opérationnalisation du RNA</t>
  </si>
  <si>
    <t>Avant chaque vague de suivi ou d'évaluation</t>
  </si>
  <si>
    <t>Petits exploitants agricoles inscrits au registre national d'agriculteurs (RNA)</t>
  </si>
  <si>
    <t>Permet de mesurer le nombre des petits exploitants (agriculteurs, éleveurs et pisciculteurs) enregistrés dans le RNA</t>
  </si>
  <si>
    <t>Cumul/Total</t>
  </si>
  <si>
    <t>Province/National</t>
  </si>
  <si>
    <t>RNA, bases opérateurs techniques, listes UPEP, validations communautaires, données GPS</t>
  </si>
  <si>
    <t>Données collectées dans le Système d'information sur les bénéficiaires</t>
  </si>
  <si>
    <t>UNCP, DANTIC, UPEP, opérateurs techniques</t>
  </si>
  <si>
    <t>DONNÉES DÉSAGRÉGÉES PAR SEXE — Petits exploitants enregistrés dans le RNA — Femmes : Valeur de référence = n.d. ; Cibles annuelles 2024=10000, 2025=50000, 2026=100000, 2027=150000. || CONTRÔLE QUALITÉ / VALIDATION (Étude de référence IDEA 2026, Tableau 19 — Base de sondage et identification des PEA) : Nettoyage des doublons, vérification des identifiants RNA, contrôle des localisations, validation des statuts bénéficiaires/témoins, traçabilité des remplacements et archivage de la version utilisée</t>
  </si>
  <si>
    <t>FICHE D'OPÉRATIONNALISATION DES INDICATEURS — VERSION REFORMULÉE (v6) — IR1.1.3.1 · Exploitants inscrits au RNA</t>
  </si>
  <si>
    <t>Description :
Sans registre, aucun appui ne peut être ciblé, tracé ni audité, et le double comptage est inévitable. Le RNA est l'infrastructure d'information sur laquelle repose la crédibilité de tout le dispositif.</t>
  </si>
  <si>
    <t>Petits exploitants agricoles inscrits au registre national d'agriculteurs (RNA) (femmes)</t>
  </si>
  <si>
    <t>FICHE D'OPÉRATIONNALISATION DES INDICATEURS — VERSION REFORMULÉE (v6) — IR1.1.3.2 · Exploitants inscrits au RNA — Femmes</t>
  </si>
  <si>
    <t>Description :
L'inscription nominative au RNA conditionne l'accès individuel aux appuis, au crédit et à l'assurance. Un déficit d'enregistrement des femmes se traduirait mécaniquement par un déficit d'accès à tout le reste.</t>
  </si>
  <si>
    <t>FICHE D'OPÉRATIONNALISATION DES INDICATEURS — VERSION REFORMULÉE (v6) — IR1.1.4 · Superficie sous pratiques AIC</t>
  </si>
  <si>
    <t>Les parcelles concernées sont identifiables et mesurables sur le terrain, et les exploitants acceptent le relevé GPS de leurs limites parcellaires.</t>
  </si>
  <si>
    <t>Relevés parcellaires géoréférencés rattachés au Registre National des Agriculteurs ; bases des opérateurs techniques.</t>
  </si>
  <si>
    <t>Opérateur technique pour le relevé ; UPE pour la supervision ; UNCP / Unité S&amp;E pour le calcul et le contrôle de vraisemblance.</t>
  </si>
  <si>
    <t>Mesurer l'emprise physique réelle des pratiques climato-intelligentes, c'est-à-dire la surface de terre effectivement gérée autrement, et non le nombre d'exploitants formés.</t>
  </si>
  <si>
    <t>Description :
L'effet climatique et agronomique du projet dépend des hectares transformés, pas des personnes touchées. Un exploitant peut adopter une pratique sur une petite parcelle seulement ; seule la superficie le révèle.</t>
  </si>
  <si>
    <t>Parcelles exploitées par les bénéficiaires du projet sur lesquelles au moins une pratique agricole intelligente face au climat est effectivement mise en œuvre.</t>
  </si>
  <si>
    <t>L'effet climatique et agronomique du projet dépend des hectares transformés, pas des personnes touchées. Un exploitant peut adopter une pratique sur une petite parcelle seulement ; seule la superficie le révèle.</t>
  </si>
  <si>
    <t>Province ; territoire ; sexe de l'exploitant ; type de pratique AIC ; filière ; statut foncier.</t>
  </si>
  <si>
    <t>Somme des superficies des parcelles portant le marqueur « pratique AIC », mesurées au GPS. En l'absence de relevé GPS, superficie déclarée par l'exploitant, explicitement étiquetée comme estimation.</t>
  </si>
  <si>
    <t>Somme des superficies mesurées, en hectares, cumulée depuis le démarrage du projet. FORMULE PROVISOIRE ACTUELLEMENT APPLIQUÉE : IR1.1.1 × 0,5 — voir rubrique 14.</t>
  </si>
  <si>
    <t>UPE : contrôle des relevés GPS et de la cohérence des polygones. UNCP / Unité S&amp;E : contrôle de vraisemblance des superficies moyennes par exploitant. Responsable National S&amp;E : validation officielle.</t>
  </si>
  <si>
    <t>Relevé GPS du contour de la parcelle lors de la visite de suivi, calcul automatique de la superficie, et rattachement à l'identifiant RNA de l'exploitant.</t>
  </si>
  <si>
    <t>GPS de terrain ou application mobile de relevé parcellaire avec calcul de surface, intégrée au formulaire de suivi KoboToolbox.</t>
  </si>
  <si>
    <t>INDICATEUR ACTUELLEMENT CALCULÉ, NON MESURÉ. Sur 2024 comme sur 2025, la superficie déclarée vaut exactement la moitié du nombre d'agriculteurs atteints : 4 580 pour 9 160, puis 18 013 pour 36 026. La valeur découle d'une hypothèse implicite de 0,5 hectare par exploitant, non d'un relevé de terrain. L'indicateur ne peut donc jamais contredire celui dont il dérive, et toute variation réelle de la taille des parcelles reste invisible. RÈGLE DE TRANSITION PROPOSÉE : conserver la valeur calculée en la signalant explicitement comme estimation tant que la couverture GPS des parcelles reste inférieure à 60 %, puis basculer sur la mesure réelle. Les deux séries doivent coexister une campagne complète afin de mesurer l'écart entre l'hypothèse et la réalité.</t>
  </si>
  <si>
    <t xml:space="preserve">Méthode de Collecte et Rapportage  des Données </t>
  </si>
  <si>
    <t>Hypothèses Critiques</t>
  </si>
  <si>
    <t xml:space="preserve">Indicateur de performance </t>
  </si>
  <si>
    <t>DESCRIPTION : 
[À compléter par l'équipe M&amp;E]</t>
  </si>
  <si>
    <t>12. OUTIL DE MESURE</t>
  </si>
  <si>
    <t>FICHE D'OPÉRATIONNALISATION DES INDICATEURS — VERSION REFORMULÉE (v6) — IR1.1.5 · Paquets techniques AIC/AIN proposés</t>
  </si>
  <si>
    <t>L'INERA et les services techniques disposent des moyens de conduire les essais de validation, et les paquets élaborés sont effectivement diffusés aux opérateurs de terrain.</t>
  </si>
  <si>
    <t>Bases des opérateurs techniques ; rapports de l'INERA ; suivi des UPE ; catalogue national des paquets techniques.</t>
  </si>
  <si>
    <t>Opérateurs techniques, INERA, DANTIC et UPE pour la collecte ; UNCP / Unité S&amp;E pour la consolidation.</t>
  </si>
  <si>
    <t>Vérifier que l'offre technique mise à disposition des exploitants couvre les principales filières et contraintes agroclimatiques des zones du projet, condition préalable à toute adoption.</t>
  </si>
  <si>
    <t>Description :
On ne peut demander à un exploitant d'adopter une technologie qui n'a pas été formalisée, testée et documentée. Cet indicateur mesure la disponibilité de l'offre, en amont de tous les indicateurs d'adoption.</t>
  </si>
  <si>
    <t>Somme des paquets techniques validés et diffusables, cumulée depuis le démarrage du projet.</t>
  </si>
  <si>
    <t>IR1.1.6</t>
  </si>
  <si>
    <t>Non adhesion des bénéficiaires directs au programme</t>
  </si>
  <si>
    <t>Trimestrielle / annuelle</t>
  </si>
  <si>
    <t>RNA/Rapport OT/Rapport OVDA/Rapport BCC/Rapport EQUITY/Rapports des prestataires</t>
  </si>
  <si>
    <t xml:space="preserve">Renforcer la capacité du secteur public agricole </t>
  </si>
  <si>
    <t>Nombre des bénéficiaires directs du programme</t>
  </si>
  <si>
    <t xml:space="preserve">Description: 
Cet indicateur mesure nombre des bénéficiaires directs du programme (petits exploitants, entrepreneurs, mains d’œuvre locale travaillant dans le projet d’infrastructure rurale en qualité d’ouvriers, institutions financières participantes, les prestataires des services des entreprises et prestataires de services publics d’appui à l’agriculture) </t>
  </si>
  <si>
    <t>Les petits exploitants agricoles, entrepreneurs, mains d’œuvre locales travaillant dans le projet d’infrastructure rurale en qualité d’ouvriers, institutions financières participantes, les prestataires des services des entreprises et prestataires de services publics d’appui à l’agriculture</t>
  </si>
  <si>
    <t>Renforcer la capacité du secteur public agricole dans les zones du projet</t>
  </si>
  <si>
    <t>Permet de mesurer  le nombre des bénéficaires directs du programme</t>
  </si>
  <si>
    <t>Tableau de bord PNDA, données S&amp;E, RNA, enquêtes,Rapport OVDA/Rapport BCC/Rapport EQUITY/Rapports des prestataires</t>
  </si>
  <si>
    <t>Enregistrement des bénéficiaires directs</t>
  </si>
  <si>
    <t>UNCP / cellule S&amp;E</t>
  </si>
  <si>
    <t>DONNÉES DÉSAGRÉGÉES PAR SEXE — Bénéficiaires directs du programme — Femmes : Valeur de référence = 0 ; Cibles annuelles 2024=10000, 2025=100000, 2026=350000, 2027=450000. || CONTRÔLE QUALITÉ / VALIDATION (Étude de référence IDEA 2026, Tableau 19 — Indicateurs du cadre de résultats consolidé) : Validation institutionnelle, cohérence intersources, archivage et traçabilité</t>
  </si>
  <si>
    <t>Nombre des bénéficiaires directs du programme (femmes)</t>
  </si>
  <si>
    <t>Pas de main d'œuvre pour exécuter les travaux de réhabilitation des routes</t>
  </si>
  <si>
    <t>PV de réception des travaux, Rapports périodiques et finaux d'exécution du projet, Rapport de l'OVDA et/ou de l'Office des routes</t>
  </si>
  <si>
    <t>Nombre de kilomètres de routes asphalté</t>
  </si>
  <si>
    <t xml:space="preserve">DESCRIPTION : 
Cet indicateur mesure le nombre de kilomètres de routes réhabilitées par le programme. </t>
  </si>
  <si>
    <t>Petits exploitants</t>
  </si>
  <si>
    <t>Permet de mesurer le nombre de kilomètres de routes réhabilitées par le programme</t>
  </si>
  <si>
    <t>Pas de main d'œuvre pour exécuter les travaux de réhabilitation des routes.</t>
  </si>
  <si>
    <t>Territoire/Province</t>
  </si>
  <si>
    <t>NA</t>
  </si>
  <si>
    <t>Nombre de Kilomètres de routes  réhabilitées= Kilomètres de routes Nationales + Kilomètres de routes Provinciales+ Kilomètres des routes de dessertes agricoles réhabilitées</t>
  </si>
  <si>
    <t>PV de réception des travaux, Rapports périodiques et final d'exécution du projet, Rapport de l'OVDA et/ou de l'Office des routes</t>
  </si>
  <si>
    <t>Données collectées par les missions de contrôle, les Ingénieurs du programme (PNDA/OVDA/Office des Routes)</t>
  </si>
  <si>
    <t>Fiche (GPS, Kilométrage vélo ou moto)</t>
  </si>
  <si>
    <t>CONTRÔLE QUALITÉ / VALIDATION (Étude de référence IDEA 2026, Tableau 19 — Indicateurs du cadre de résultats consolidé) : Validation institutionnelle, cohérence intersources, archivage et traçabilité</t>
  </si>
  <si>
    <t xml:space="preserve">- Pas d'adhésion de la population locale ;
- Pas de structuration des CLER. </t>
  </si>
  <si>
    <t>PV de réception des travaux d'entretien</t>
  </si>
  <si>
    <t>Nombre de CLER fonctionnels</t>
  </si>
  <si>
    <t xml:space="preserve">DESCRIPTION : 
Cet indicateur mesure le nombre de CLER fonctionnels grâce au programme et l'implication de l'OVDA. </t>
  </si>
  <si>
    <t>Permet de mesurer le nombre de CLER fonctionnels grâce au programme</t>
  </si>
  <si>
    <t>Pas d'adhésion des populations locales et de structuration des CLER</t>
  </si>
  <si>
    <t>6. ELEMENTS DE CALCULS</t>
  </si>
  <si>
    <t>Nombre de CLER fonctionnels= 1 CLER pour 25 km de route</t>
  </si>
  <si>
    <t>Rapport de l'OVDA</t>
  </si>
  <si>
    <t>Supervision, Descente de terrain de l'OVDA/PNDA</t>
  </si>
  <si>
    <t>PV de réception des travaux</t>
  </si>
  <si>
    <t>Non implication des autorités provinciales</t>
  </si>
  <si>
    <t>Nombre des provinces soumettant un plan de maintenance des routes annuellement</t>
  </si>
  <si>
    <t>Description: 
Cet indicateur mesure nombre des provinces soumettant le plan de maintenance des routes annuellement au FONER</t>
  </si>
  <si>
    <t>Permet de mesurer  le nombre de province ayant presenté les plans de maintenances des routes au FONER</t>
  </si>
  <si>
    <t>Tableau de bord PNDA, données S&amp;E, RNA, enquêtes</t>
  </si>
  <si>
    <t>Revue documentaire</t>
  </si>
  <si>
    <t>- Non accès de petits exploitants femmes aux services financiers.</t>
  </si>
  <si>
    <t>Superficié equipe avec l'infrastructure d'irrigation</t>
  </si>
  <si>
    <t xml:space="preserve">DESCRIPTION : 
Cet indicateur mesure en hectare la superficie totale d'infrastructure d'irrigation  amenagé dans la zone du programme à Tanganyika </t>
  </si>
  <si>
    <t>Assistance technique et accès au financement aux petits exploitants</t>
  </si>
  <si>
    <t>Permet de mesurer le nombre de Petits exploitants agricoles de sexe féminin ayant été atteints par des services financiers</t>
  </si>
  <si>
    <t>Non accès de petits exploitants femmes aux services financiers.</t>
  </si>
  <si>
    <t>Territoire/Province/Genre</t>
  </si>
  <si>
    <t>Provincial</t>
  </si>
  <si>
    <t>Données collectées dans le compte du FGC</t>
  </si>
  <si>
    <t xml:space="preserve">Rapport </t>
  </si>
  <si>
    <t>Aucune Adhésion des AVEC.</t>
  </si>
  <si>
    <t>Rapport des OF</t>
  </si>
  <si>
    <t>DESCRIPTION : 
Cet indicateur mesure le nombre de Prestataire de services financiers (AVEC) atteint avec une assistance technique du programme</t>
  </si>
  <si>
    <t>AVEC</t>
  </si>
  <si>
    <t>Permet de mesurer le nombre de prestataire de services financiers (AVEC) atteint avec une assistance technique du programme</t>
  </si>
  <si>
    <t>Aucune adhésion des AVEC</t>
  </si>
  <si>
    <t>Enquêtes ménages, données partenaires financiers, AVEC, mobile money</t>
  </si>
  <si>
    <t>Données collectées sur les AVEC bénéficiaires avec une assistance technique du programme de subvention</t>
  </si>
  <si>
    <t>Fiche de collecte des OF</t>
  </si>
  <si>
    <t>Partenaires financiers, UPEP, UNCP</t>
  </si>
  <si>
    <t>CONTRÔLE QUALITÉ / VALIDATION (Étude de référence IDEA 2026, Tableau 19 — Inclusion financière et accès aux services financiers) : Vérification des définitions : accès, usage effectif, crédit, épargne, assurance</t>
  </si>
  <si>
    <t>- Aucune PME ne formule une demande de crédit.</t>
  </si>
  <si>
    <t>Rapport BCC sur la ligne des crédits</t>
  </si>
  <si>
    <t>Volume de prêts au moyen de lignes de crédit accordées par le programme aux provinces ciblées</t>
  </si>
  <si>
    <t>DESCRIPTION : 
Cet indicateur mesure la somme d'argent en dollars américains octroyée par le programme dans les différentes provinces ciblées en terme de prêts au moyen de lignes de crédit.</t>
  </si>
  <si>
    <t>PME</t>
  </si>
  <si>
    <t>Permet de mesurer le 
Cet indicateur mesure la somme d'argent en dollars américains octroyée par le programme dans les différentes provinces ciblées en terme de prêts au moyen de lignes de crédit</t>
  </si>
  <si>
    <t>Aucune PME ne formule une demande de crédit.</t>
  </si>
  <si>
    <t>Données collectées sur le système de gestion des crédits aux IFP</t>
  </si>
  <si>
    <t>IR2.2.4</t>
  </si>
  <si>
    <t>Rapport et comptes BCC</t>
  </si>
  <si>
    <t xml:space="preserve"> Nombre de PME ayant un prêt ou une marge de crédit, dont pourcentage dirigé par des femmes</t>
  </si>
  <si>
    <t>DESCRIPTION : 
Cet indicateur mesure le nombre de PME ayant un prêt ou une marge de crédit grâce au programme, dont pourcentage dirigé par des femmes</t>
  </si>
  <si>
    <t>Permet de mesurer le nombre de PME ayant un prêt ou une marge de crédit, dont pourcentage dirigé par des femmes</t>
  </si>
  <si>
    <t>Base MPME, suivi des appuis techniques et financiers</t>
  </si>
  <si>
    <t>Données collectées sur le compte de la BCC et celui de l'UNCP.</t>
  </si>
  <si>
    <t>UNCP, UPEP, structures d'accompagnement</t>
  </si>
  <si>
    <t>CONTRÔLE QUALITÉ / VALIDATION (Étude de référence IDEA 2026, Tableau 19 — Appui aux MPME) : Contrôle des effectifs, type d'appui, statut de l'entreprise et bénéficiaire final</t>
  </si>
  <si>
    <t>IR2.2.5</t>
  </si>
  <si>
    <t>- Manque de personne ayant souscrit pour une meso police d'assurance dans la zone du programme.</t>
  </si>
  <si>
    <t>Rapport de l'OT</t>
  </si>
  <si>
    <t>Nombre de personnes avec les polices de meso assurance</t>
  </si>
  <si>
    <t>DESCRIPTION : 
Cet indicateur mesure le nombre de petits exploitants (agriculteurs, éleveurs et les pisciculteurs) avec les polices de meso assurance grâce au programme</t>
  </si>
  <si>
    <t>- Non élaboration des plans d'affaires par les organisations</t>
  </si>
  <si>
    <t>Organisations ayant mis en œuvre  des plans d'affaires</t>
  </si>
  <si>
    <t>DESCRIPTION : 
Cet indicateur mesure le nombre d'organisations paysannes (production, transformation, stockage, commercialisation) ayant mis en œuvre les plans d'affaires au programme.</t>
  </si>
  <si>
    <t xml:space="preserve">14. COMMENTAIRES / OBSERVATIONS </t>
  </si>
  <si>
    <t xml:space="preserve">Absence de reclamation adressées auprès de service de réparations des griefs </t>
  </si>
  <si>
    <t>Mensuelle / trimestrielle</t>
  </si>
  <si>
    <t>Rapport de l'UNCP</t>
  </si>
  <si>
    <t>Biens et Services Publics Agricoles</t>
  </si>
  <si>
    <t>DESCRIPTION : 
  Cet indicateur permet de mesure le pourcentage de traitements de reclammations réalisées dans les délais requis à travers les zones d'intervention du Projet</t>
  </si>
  <si>
    <t>Données de Performance</t>
  </si>
  <si>
    <t>UPEP, UNCP, relais communautaires</t>
  </si>
  <si>
    <t>CONTRÔLE QUALITÉ / VALIDATION (Étude de référence IDEA 2026, Tableau 19 — Plaintes, recours et retour d'information) : Suivi du nombre de plaintes, délai de traitement, statut de clôture et retour au bénéficiaire</t>
  </si>
  <si>
    <t>Absence de Cheptel chez les Petits Exploitants</t>
  </si>
  <si>
    <t>Rapport de VSF</t>
  </si>
  <si>
    <t>DESCRIPTION : 
  Cet indicateur mesure le nombre de vaccination de cheptel de bêtes dans les zones ciblées du projet</t>
  </si>
  <si>
    <t>Absence de cheptel chez les Petits exploitants</t>
  </si>
  <si>
    <t>6. ELEMNTS DE CALCUL</t>
  </si>
  <si>
    <t>DANTIC</t>
  </si>
  <si>
    <t>nON</t>
  </si>
  <si>
    <t>Absence de renseignement de cas d'exploitation et abus sexuels au service</t>
  </si>
  <si>
    <t>DESCRIPTION : 
  Cet indicateur permet de mesurer le pourcentage de cas d'exploitation et d'abus sexuels/harcelement traités au service dans le temps</t>
  </si>
  <si>
    <t>Non adoption de Ptech par des fermiers</t>
  </si>
  <si>
    <t>Semestrielle / après distribution</t>
  </si>
  <si>
    <t>Les fermiers qui ont reçu des appuis pour l'adoption des Ptech sont satisfaits (Pourcentage)</t>
  </si>
  <si>
    <t>DESCRIPTION : 
  Cet indicateur permet de calculer le pourcentage de satisfaction de fermiers qui ont adopté les Ptech</t>
  </si>
  <si>
    <t>OT</t>
  </si>
  <si>
    <t xml:space="preserve">Petits exploitants agricoles bénéficiaires de l'appui du projet (semences, intrants, formation, équipement) </t>
  </si>
  <si>
    <t>Questionnaire de production sur KoboToolbox</t>
  </si>
  <si>
    <t>Opérateur technique pour la collecte</t>
  </si>
  <si>
    <t>Dénombrement des PEA ayant adoptés les technologies améliorées</t>
  </si>
  <si>
    <t>Somme des exploitants adoptants, cumulée depuis le démarrage du projet</t>
  </si>
  <si>
    <t>UPE/UNCP</t>
  </si>
  <si>
    <t>Visite de suivi des PEA</t>
  </si>
  <si>
    <t>Formulaire de suivi d'adoption sur KoboToolbox</t>
  </si>
  <si>
    <t xml:space="preserve">Dénombrement </t>
  </si>
  <si>
    <t xml:space="preserve">Fiche de recensement documentaire </t>
  </si>
  <si>
    <t>Petits exploitants agricoles, opérateurs techniques et structures d'appui mettant en œuvre les paquets techniques AIC/AIN.</t>
  </si>
  <si>
    <t>Augmenter la productivité agricole des petits exploitants agricoles grâce à la diffusion de paquets techniques adaptés à l'AIC et à l'AIN.</t>
  </si>
  <si>
    <t>Permet de mesurer le nombre de paquets techniques AIC/AIN effectivement proposés et disponibles pour les exploitants dans les zones du projet.</t>
  </si>
  <si>
    <t>Disponibilité des technologies et intrants nécessaires et adhésion des opérateurs techniques et des petits exploitants à leur diffusion et à leur adoption.</t>
  </si>
  <si>
    <t>Province/Territoire/Culture ou spéculation/Type de paquet technique.</t>
  </si>
  <si>
    <t>Dénombrement des paquets techniques AIC/AIN distincts, validés et proposés aux bénéficiaires au cours de la période.</t>
  </si>
  <si>
    <t>Province / UNCP.</t>
  </si>
  <si>
    <t>Bases des opérateurs techniques, RNA, rapports de diffusion des technologies, fiches de suivi UPEP et rapports S&amp;E.</t>
  </si>
  <si>
    <t>Contrôle qualité : vérifier que chaque paquet technique est documenté, validé, non dupliqué et effectivement proposé dans une année d'intervention. Assurer...</t>
  </si>
  <si>
    <t>Opérateurs techniques, UPEP, DANTIC et cellule S&amp;E/UNCP.</t>
  </si>
  <si>
    <t>Fiche de suivi des paquets techniques, base de données S&amp;E/RNA et rapport des opérateurs techniques.</t>
  </si>
  <si>
    <t>Revue documentaire et enregistrement des paquets techniques proposés par les opérateurs techniques, avec vérification par les équipes S&amp;E.</t>
  </si>
  <si>
    <t>Dénombrement des CLER répondant aux critères de fonctionnalité validés par le programme.</t>
  </si>
  <si>
    <t>Somme des montants de prêts effectivement décaissés au titre des lignes de crédit du programme.</t>
  </si>
  <si>
    <t>Volume de prêts = Σ montants des prêts décaissés au titre des lignes de crédit du programme.</t>
  </si>
  <si>
    <t>Relevés de crédit, états de décaissement et base de suivi financier.</t>
  </si>
  <si>
    <t>PME bénéficiaires des lignes de crédit, avec suivi spécifique des PME dirigées par des femmes.</t>
  </si>
  <si>
    <t>Accroître l’accès des PME au crédit et améliorer l’inclusion financière des entreprises dirigées par des femmes.</t>
  </si>
  <si>
    <t>Province/Territoire/Sexe du dirigeant/Type de crédit/Secteur.</t>
  </si>
  <si>
    <t>Dénombrement des PME ayant un prêt ou une marge de crédit et identification de celles dirigées par des femmes.</t>
  </si>
  <si>
    <t>% femmes = (Nombre de PME dirigées par des femmes / Nombre total de PME ayant un prêt ou une marge de crédit) × 100.</t>
  </si>
  <si>
    <t>Province/UNCP</t>
  </si>
  <si>
    <t>Relevé de crédit, fiche de suivi MPME et base de données financière.</t>
  </si>
  <si>
    <t>Petits exploitants agricoles, éleveurs et pisciculteurs bénéficiaires de la méso-assurance.</t>
  </si>
  <si>
    <t>Assistance teAméliorer l’accès des petits exploitants aux mécanismes de gestion des risques et aux services d’assurance adaptés.chnique et accès au financement aux petits exploitants</t>
  </si>
  <si>
    <t>PermPermet de mesurer le nombre de personnes ayant souscrit une police de méso-assurance grâce aux mécanismes appuyés par le programme.et de mesurer le nombre de petits exploitants avec les polices de meso assurance grâce au programme</t>
  </si>
  <si>
    <t>Manque Disponibilité des produits d’assurance adaptés et adhésion des petits exploitants à la souscription.de personnes ayant souscrit à une meso police d'assurance dans la zone du programme</t>
  </si>
  <si>
    <t>Province/Territoire/Genre/Type d’activité/Type de police.</t>
  </si>
  <si>
    <t>ERegistres des assureurs et partenaires financiers, bases des bénéficiaires, rapports des opérateurs et données de suivi du programme.nquêtes ménages, données partenaires financiers, AVEC, mobile money</t>
  </si>
  <si>
    <t>Registre des polices, relevé de souscription et base S&amp;E.</t>
  </si>
  <si>
    <t>Petits exploitants agricoles, membres d’AVEC, PME et autres bénéficiaires des services financiers du programme.</t>
  </si>
  <si>
    <t>Renforcer les connaissances et les capacités des bénéficiaires à utiliser de manière responsable les services financiers.</t>
  </si>
  <si>
    <t>Permet de mesurer le nombre de bénéficiaires ayant effectivement participé à une activité d’éducation financière appuyée par le programme.</t>
  </si>
  <si>
    <t>Participation effective des bénéficiaires aux sessions et disponibilité des formateurs et supports d’éducation financière.</t>
  </si>
  <si>
    <t>Province/Territoire/Genre/Âge/Type de bénéficiaire/Thème de formation.</t>
  </si>
  <si>
    <t>Dénombrement des participants uniques ayant achevé une session ou un module d’éducation financière documenté.</t>
  </si>
  <si>
    <t>Nombre de bénéficiaires formés = nombre de participants uniques ayant achevé les activités d’éducation financière validées.</t>
  </si>
  <si>
    <t>Extraction des listes de souscripteurs et rapprochement avec les bases de bénéficiaires du programme.</t>
  </si>
  <si>
    <t>Rapports des partenaires financiers, listes de présence, bases AVEC, rapports des opérateurs et base S&amp;E.</t>
  </si>
  <si>
    <t>Enregistrement des participants, contrôle des listes de présence et rapprochement avec les identifiants des bénéficiaires.</t>
  </si>
  <si>
    <t>Fiche de présence, fiche de formation, questionnaire de suivi et base S&amp;E.</t>
  </si>
  <si>
    <t>Organisations paysannes, agromultiplicateurs et organisations d’agriculteurs bénéficiaires.</t>
  </si>
  <si>
    <t>Renforcer les capacités des organisations agricoles à développer des activités économiques viables et à accéder au financement.</t>
  </si>
  <si>
    <t>Permet de mesurer le nombre d’organisations ayant effectivement mis en œuvre un plan d’affaires appuyé par le programme.</t>
  </si>
  <si>
    <t>Les organisations élaborent, valident et mettent effectivement en œuvre leurs plans d’affaires.</t>
  </si>
  <si>
    <t>Province/Territoire/Type d’organisation/Chaîne de valeur.</t>
  </si>
  <si>
    <t>Nombre de plans d’affaires mis en œuvre = nombre d’organisations uniques ayant commencé la mise en œuvre d’un plan d’affaires validé.</t>
  </si>
  <si>
    <t>Province / UNCP</t>
  </si>
  <si>
    <t>Revue documentaire et vérification sur le terrain de la mise en œuvre des plans d’affaires.</t>
  </si>
  <si>
    <t>Fiche de suivi des plans d’affaires, grille de vérification et base MPME/S&amp;E.</t>
  </si>
  <si>
    <t>Petits exploitants agricoles, communautés bénéficiaires et autres usagers du mécanisme de gestion des réclamations.</t>
  </si>
  <si>
    <t>Renforcer la capacité du projet à traiter les réclamations des bénéficiaires dans les délais requis.</t>
  </si>
  <si>
    <t>Permet de mesurer la proportion des réclamations reçues et traitées dans le délai défini par le mécanisme de gestion des plaintes.</t>
  </si>
  <si>
    <t>Province/Territoire/Type de réclamation/Genre du plaignant/Statut de traitement.</t>
  </si>
  <si>
    <t>Nombre de réclamations clôturées dans le délai requis et nombre total de réclamations recevables reçues durant la période.</t>
  </si>
  <si>
    <t>Taux de traitement dans les délais = (Nombre de réclamations traitées dans le délai / Nombre total de réclamations recevables à traiter) × 100.</t>
  </si>
  <si>
    <t>UNCP / cellule S&amp;E.</t>
  </si>
  <si>
    <t>Mécanisme de gestion des plaintes, registres locaux, système GRM et rapports des opérateurs techniques.</t>
  </si>
  <si>
    <t>Enregistrement continu des réclamations dans le système GRM et vérification des dates de réception, traitement et clôture.</t>
  </si>
  <si>
    <t>Petits exploitants agricoles, éleveurs et détenteurs de cheptel dans les zones ciblées.</t>
  </si>
  <si>
    <t>Renforcer la prévention et le contrôle des maladies animales dans les zones d’intervention du projet.</t>
  </si>
  <si>
    <t>Permet de mesurer le nombre de campagnes de vaccination animale réalisées dans les provinces ciblées.</t>
  </si>
  <si>
    <t>Province/Territoire/Bassin de production/Type d’animal.</t>
  </si>
  <si>
    <t>Dénombrement des campagnes de vaccination effectivement réalisées et documentées dans les zones ciblées.</t>
  </si>
  <si>
    <t>Nombre de campagnes = somme des campagnes de vaccination animale réalisées et validées.</t>
  </si>
  <si>
    <t>Rapports de la Direction de la Santé animale du Ministère de l’Agriculture, rapports PNDA, fiches de vaccination et données S&amp;E.</t>
  </si>
  <si>
    <t>Revue des rapports de vaccination et rapprochement avec les zones, dates, espèces et effectifs vaccinés.</t>
  </si>
  <si>
    <t>Fiche de vaccination, registre sanitaire et rapport de campagne.</t>
  </si>
  <si>
    <t>Services vétérinaires compétents, UNCP/cellule S&amp;E et opérateurs concernés.</t>
  </si>
  <si>
    <t>Contrôle qualité : vérifier la date, la zone, les espèces vaccinées, les preuves de vaccination et l’absence de double comptage d’une même campagne.</t>
  </si>
  <si>
    <t>Institutions de recherche, universités, services techniques agricoles et opérateurs de recherche-développement.</t>
  </si>
  <si>
    <t>Renforcer la production et l’utilisation de connaissances et de technologies agricoles adaptées à l’AIC et à l’AIN.</t>
  </si>
  <si>
    <t>Permet de mesurer le nombre de programmes de recherche-développement agricole portant sur l’AIC et l’AIN soutenus ou reconnus par le projet.</t>
  </si>
  <si>
    <t>Disponibilité des institutions de recherche, financement et capacité technique pour conduire les programmes de R&amp;D.</t>
  </si>
  <si>
    <t>Institution/Thématique AIC ou AIN/Province/Type de recherche.</t>
  </si>
  <si>
    <t>Dénombrement des programmes de R&amp;D distincts, documentés et actifs sur l’AIC et/ou l’AIN.</t>
  </si>
  <si>
    <t>Nombre de programmes de R&amp;D = nombre de programmes distincts de recherche sur l’AIC/AIN validés au cours de la période.</t>
  </si>
  <si>
    <t>Rapports des institutions de recherche, conventions/protocoles, rapports des opérateurs et tableau de bord PNDA/S&amp;E.</t>
  </si>
  <si>
    <t>Revue documentaire des programmes, protocoles, rapports d’activités et preuves de mise en œuvre.</t>
  </si>
  <si>
    <t>Fiche de suivi R&amp;D, grille de revue documentaire et base S&amp;E.</t>
  </si>
  <si>
    <t>UNCP/cellule S&amp;E et structures de recherche partenaires.</t>
  </si>
  <si>
    <t>Contrôle qualité : vérifier l’existence du programme, sa thématique AIC/AIN, sa période de mise en œuvre et les livrables produits. Un même programme ne doit être compté qu’une fois.</t>
  </si>
  <si>
    <t>National / UNCP.</t>
  </si>
  <si>
    <t>Trimestrielle / annuelle.</t>
  </si>
  <si>
    <t>Bénéficiaires du projet et communautés exposées aux risques d’exploitation, d’abus sexuels et de harcèlement sexuel.</t>
  </si>
  <si>
    <t>Assurer une prise en charge et un traitement appropriés des cas d’exploitation, d’abus sexuels et de harcèlement sexuel signalés dans le cadre du projet.</t>
  </si>
  <si>
    <t>Permet de mesurer la proportion des cas signalés et recevables qui ont été traités conformément aux procédures et délais prévus.</t>
  </si>
  <si>
    <t>Les cas sont signalés au mécanisme approprié et les services compétents disposent des capacités nécessaires pour assurer une prise en charge confidentielle.</t>
  </si>
  <si>
    <t>Province/Territoire/Type de cas/Statut de traitement.</t>
  </si>
  <si>
    <t>Nombre de cas signalés et recevables ayant fait l’objet d’un traitement conformément aux procédures, rapporté au nombre total de cas recevables.</t>
  </si>
  <si>
    <t>Taux de traitement = (Nombre de cas recevables traités conformément aux procédures / Nombre total de cas recevables signalés) × 100.</t>
  </si>
  <si>
    <t>UNCP / spécialiste environnement et social.</t>
  </si>
  <si>
    <t>Mécanisme de gestion des plaintes, registres confidentiels, rapports des opérateurs et services compétents.</t>
  </si>
  <si>
    <t>Enregistrement confidentiel des cas, suivi des étapes de prise en charge et revue des rapports anonymisés.</t>
  </si>
  <si>
    <t>Fiche confidentielle de suivi des cas, registre sécurisé et grille de suivi des délais.</t>
  </si>
  <si>
    <t>Spécialiste environnemental et social/UNCP, UPEP et services compétents.</t>
  </si>
  <si>
    <t>Contrôle qualité : préserver strictement la confidentialité et l’anonymat. Vérifier uniquement les éléments nécessaires au suivi du traitement, les délais et le statut de clôture ; aucune donnée nominative ne doit être reportée dans les tableaux de performance.</t>
  </si>
  <si>
    <t>Exploitants agricoles ayant reçu un appui du projet pour l’adoption des paquets techniques.</t>
  </si>
  <si>
    <t>Améliorer la qualité et la pertinence des appuis du projet en mesurant la satisfaction des exploitants ayant reçu des paquets techniques.</t>
  </si>
  <si>
    <t>Permet de mesurer la proportion d’exploitants bénéficiaires satisfaits des appuis reçus pour l’adoption des paquets techniques.</t>
  </si>
  <si>
    <t>Les exploitants utilisent ou ont expérimenté les paquets techniques et acceptent de fournir un retour fiable sur les appuis reçus.</t>
  </si>
  <si>
    <t>Province/Territoire/Genre/Âge/Type de paquet technique.</t>
  </si>
  <si>
    <t>Nombre d’exploitants déclarant être satisfaits des appuis reçus et nombre total d’exploitants enquêtés ayant reçu ces appuis.</t>
  </si>
  <si>
    <t>Taux de satisfaction = (Nombre d’exploitants satisfaits / Nombre total d’exploitants enquêtés ayant reçu l’appui) × 100.</t>
  </si>
  <si>
    <t>Enquêtes auprès des bénéficiaires, mécanismes de retour des bénéficiaires et rapports des opérateurs techniques.</t>
  </si>
  <si>
    <t>Enquête structurée auprès d’un échantillon de bénéficiaires après réception et utilisation des paquets techniques.</t>
  </si>
  <si>
    <t>Questionnaire de satisfaction, fiche d’enquête et base S&amp;E.</t>
  </si>
  <si>
    <t>UPEP, cellule S&amp;E et opérateurs techniques.</t>
  </si>
  <si>
    <t>Contrôle qualité : documenter la taille de l’échantillon, les critères de satisfaction, les non-réponses et la période d’enquête. Vérifier que les répondants ont effectivement reçu l’appui concerné.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</si>
</sst>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_-;\-* #,##0_-;_-* \-??_-;_-@_-"/>
    <numFmt numFmtId="165" formatCode="_-* #,##0.0_-;\-* #,##0.0_-;_-* \-??_-;_-@_-"/>
    <numFmt numFmtId="166" formatCode="0.0%"/>
    <numFmt numFmtId="167" formatCode="0.0&quot;  %&quot;"/>
  </numFmts>
  <fonts count="49" x14ac:knownFonts="1">
    <font>
      <sz val="11"/>
      <color theme="1"/>
      <name val="Calibri"/>
      <family val="2"/>
      <charset val="1"/>
    </font>
    <font>
      <sz val="11"/>
      <color theme="1"/>
      <name val="Calibri"/>
      <family val="2"/>
      <scheme val="minor"/>
    </font>
    <font>
      <sz val="10"/>
      <name val="Arial"/>
      <family val="2"/>
    </font>
    <font>
      <b/>
      <sz val="22"/>
      <color rgb="FF00B050"/>
      <name val="Bookman Old Style"/>
      <family val="1"/>
      <charset val="1"/>
    </font>
    <font>
      <b/>
      <sz val="18"/>
      <color rgb="FF00B050"/>
      <name val="Calibri"/>
      <family val="2"/>
      <charset val="1"/>
    </font>
    <font>
      <u/>
      <sz val="11"/>
      <color theme="10"/>
      <name val="Calibri"/>
      <family val="2"/>
      <charset val="1"/>
    </font>
    <font>
      <u/>
      <sz val="18"/>
      <color rgb="FF00B050"/>
      <name val="Calibri"/>
      <family val="2"/>
      <charset val="1"/>
    </font>
    <font>
      <u/>
      <sz val="14"/>
      <color rgb="FF00B050"/>
      <name val="Calibri"/>
      <family val="2"/>
      <charset val="1"/>
    </font>
    <font>
      <b/>
      <sz val="9"/>
      <color rgb="FFFF0000"/>
      <name val="Calibri"/>
      <family val="2"/>
      <charset val="1"/>
    </font>
    <font>
      <sz val="9"/>
      <color theme="1"/>
      <name val="Calibri"/>
      <family val="2"/>
      <charset val="1"/>
    </font>
    <font>
      <b/>
      <sz val="9"/>
      <color theme="1"/>
      <name val="Calibri"/>
      <family val="2"/>
      <charset val="1"/>
    </font>
    <font>
      <b/>
      <sz val="9"/>
      <name val="Calibri"/>
      <family val="2"/>
      <charset val="1"/>
    </font>
    <font>
      <u/>
      <sz val="9"/>
      <color theme="10"/>
      <name val="Calibri"/>
      <family val="2"/>
      <charset val="1"/>
    </font>
    <font>
      <i/>
      <sz val="9"/>
      <color theme="1"/>
      <name val="Calibri"/>
      <family val="2"/>
      <charset val="1"/>
    </font>
    <font>
      <b/>
      <sz val="14"/>
      <color theme="1"/>
      <name val="Century Gothic"/>
      <family val="2"/>
      <charset val="1"/>
    </font>
    <font>
      <b/>
      <sz val="11"/>
      <color theme="1"/>
      <name val="Century Gothic"/>
      <family val="2"/>
      <charset val="1"/>
    </font>
    <font>
      <sz val="11"/>
      <color theme="1"/>
      <name val="Century Gothic"/>
      <family val="2"/>
      <charset val="1"/>
    </font>
    <font>
      <sz val="8"/>
      <color theme="1"/>
      <name val="Century Gothic"/>
      <family val="2"/>
      <charset val="1"/>
    </font>
    <font>
      <b/>
      <sz val="8"/>
      <color theme="1"/>
      <name val="Century Gothic"/>
      <family val="2"/>
      <charset val="1"/>
    </font>
    <font>
      <b/>
      <i/>
      <sz val="8"/>
      <name val="Century Gothic"/>
      <family val="2"/>
      <charset val="1"/>
    </font>
    <font>
      <sz val="11"/>
      <color rgb="FF000000"/>
      <name val="Century Gothic"/>
      <family val="2"/>
      <charset val="1"/>
    </font>
    <font>
      <b/>
      <sz val="11"/>
      <color rgb="FF000000"/>
      <name val="Century Gothic"/>
      <family val="2"/>
      <charset val="1"/>
    </font>
    <font>
      <b/>
      <sz val="11"/>
      <color rgb="FFFF0000"/>
      <name val="Century Gothic"/>
      <family val="2"/>
      <charset val="1"/>
    </font>
    <font>
      <b/>
      <sz val="11"/>
      <color rgb="FF1F497D"/>
      <name val="Century Gothic"/>
      <family val="2"/>
      <charset val="1"/>
    </font>
    <font>
      <sz val="10"/>
      <color theme="1"/>
      <name val="Century Gothic"/>
      <family val="2"/>
      <charset val="1"/>
    </font>
    <font>
      <b/>
      <sz val="10"/>
      <color theme="1"/>
      <name val="Century Gothic"/>
      <family val="2"/>
      <charset val="1"/>
    </font>
    <font>
      <b/>
      <sz val="11"/>
      <color rgb="FF1F497D"/>
      <name val="Calibri"/>
      <family val="2"/>
      <charset val="1"/>
    </font>
    <font>
      <sz val="11"/>
      <color rgb="FFFF0000"/>
      <name val="Century Gothic"/>
      <family val="2"/>
      <charset val="1"/>
    </font>
    <font>
      <sz val="11"/>
      <name val="Century Gothic"/>
      <family val="2"/>
      <charset val="1"/>
    </font>
    <font>
      <sz val="11"/>
      <name val="Calibri"/>
      <family val="2"/>
      <charset val="1"/>
    </font>
    <font>
      <b/>
      <sz val="9"/>
      <name val="Calibri"/>
      <family val="2"/>
    </font>
    <font>
      <sz val="10"/>
      <color theme="1"/>
      <name val="Century Gothic"/>
      <family val="2"/>
    </font>
    <font>
      <b/>
      <sz val="14"/>
      <color theme="1"/>
      <name val="Century Gothic"/>
      <family val="2"/>
    </font>
    <font>
      <b/>
      <sz val="11"/>
      <color theme="1"/>
      <name val="Century Gothic"/>
      <family val="2"/>
    </font>
    <font>
      <sz val="11"/>
      <color theme="1"/>
      <name val="Century Gothic"/>
      <family val="2"/>
    </font>
    <font>
      <b/>
      <sz val="10"/>
      <color theme="1"/>
      <name val="Century Gothic"/>
      <family val="2"/>
    </font>
    <font>
      <sz val="11"/>
      <color rgb="FF000000"/>
      <name val="Century Gothic"/>
      <family val="2"/>
    </font>
    <font>
      <b/>
      <sz val="11"/>
      <color indexed="8"/>
      <name val="Century Gothic"/>
      <family val="2"/>
    </font>
    <font>
      <b/>
      <sz val="10"/>
      <name val="Calibri"/>
      <family val="2"/>
    </font>
    <font>
      <sz val="11"/>
      <color rgb="FF000000"/>
      <name val="Calibri"/>
      <family val="2"/>
    </font>
    <font>
      <b/>
      <sz val="11"/>
      <color theme="1"/>
      <name val="Calibri"/>
      <family val="2"/>
    </font>
    <font>
      <sz val="11"/>
      <color theme="1"/>
      <name val="Calibri"/>
      <family val="2"/>
    </font>
    <font>
      <sz val="11"/>
      <color rgb="FFFF0000"/>
      <name val="Calibri"/>
      <family val="2"/>
    </font>
    <font>
      <b/>
      <sz val="11"/>
      <color rgb="FF000000"/>
      <name val="Calibri"/>
      <family val="2"/>
    </font>
    <font>
      <b/>
      <sz val="14"/>
      <color theme="1"/>
      <name val="Calibri"/>
      <family val="2"/>
    </font>
    <font>
      <sz val="11"/>
      <name val="Calibri"/>
      <family val="2"/>
    </font>
    <font>
      <sz val="10"/>
      <color theme="1"/>
      <name val="Calibri"/>
      <family val="2"/>
    </font>
    <font>
      <b/>
      <sz val="10"/>
      <color theme="1"/>
      <name val="Calibri"/>
      <family val="2"/>
    </font>
    <font>
      <b/>
      <sz val="11"/>
      <name val="Calibri"/>
      <family val="2"/>
    </font>
  </fonts>
  <fills count="34">
    <fill>
      <patternFill patternType="none"/>
    </fill>
    <fill>
      <patternFill patternType="gray125"/>
    </fill>
    <fill>
      <patternFill patternType="solid">
        <fgColor rgb="FF00B050"/>
        <bgColor rgb="FF008080"/>
      </patternFill>
    </fill>
    <fill>
      <patternFill patternType="solid">
        <fgColor theme="0"/>
        <bgColor rgb="FFF7F7F7"/>
      </patternFill>
    </fill>
    <fill>
      <patternFill patternType="solid">
        <fgColor rgb="FFFFFF00"/>
        <bgColor rgb="FFFFFF00"/>
      </patternFill>
    </fill>
    <fill>
      <patternFill patternType="solid">
        <fgColor rgb="FFFFC000"/>
        <bgColor rgb="FFFF9900"/>
      </patternFill>
    </fill>
    <fill>
      <patternFill patternType="solid">
        <fgColor rgb="FFC5D9F0"/>
        <bgColor rgb="FFC6D9F1"/>
      </patternFill>
    </fill>
    <fill>
      <patternFill patternType="solid">
        <fgColor theme="3" tint="0.79979857783745845"/>
        <bgColor rgb="FFC5D9F0"/>
      </patternFill>
    </fill>
    <fill>
      <patternFill patternType="solid">
        <fgColor rgb="FFD7E3BB"/>
        <bgColor rgb="FFD9D9D9"/>
      </patternFill>
    </fill>
    <fill>
      <patternFill patternType="solid">
        <fgColor rgb="FFE3DFEB"/>
        <bgColor rgb="FFDCE6F2"/>
      </patternFill>
    </fill>
    <fill>
      <patternFill patternType="solid">
        <fgColor rgb="FFEBF0DE"/>
        <bgColor rgb="FFF2F2F2"/>
      </patternFill>
    </fill>
    <fill>
      <patternFill patternType="solid">
        <fgColor rgb="FFF7F7F7"/>
        <bgColor rgb="FFF2F2F2"/>
      </patternFill>
    </fill>
    <fill>
      <patternFill patternType="solid">
        <fgColor theme="0" tint="-4.9989318521683403E-2"/>
        <bgColor rgb="FFF7F7F7"/>
      </patternFill>
    </fill>
    <fill>
      <patternFill patternType="solid">
        <fgColor theme="8" tint="0.39973143711661124"/>
        <bgColor rgb="FFBFBFBF"/>
      </patternFill>
    </fill>
    <fill>
      <patternFill patternType="solid">
        <fgColor theme="0" tint="-0.14999847407452621"/>
        <bgColor rgb="FFE3DFEB"/>
      </patternFill>
    </fill>
    <fill>
      <patternFill patternType="solid">
        <fgColor theme="9" tint="0.59978026673177287"/>
        <bgColor rgb="FFFAC090"/>
      </patternFill>
    </fill>
    <fill>
      <patternFill patternType="solid">
        <fgColor theme="0" tint="-0.249977111117893"/>
        <bgColor rgb="FFC5D9F0"/>
      </patternFill>
    </fill>
    <fill>
      <patternFill patternType="solid">
        <fgColor theme="9" tint="0.39973143711661124"/>
        <bgColor rgb="FFFCD5B5"/>
      </patternFill>
    </fill>
    <fill>
      <patternFill patternType="solid">
        <fgColor theme="4" tint="0.79979857783745845"/>
        <bgColor rgb="FFE3DFEB"/>
      </patternFill>
    </fill>
    <fill>
      <patternFill patternType="solid">
        <fgColor rgb="FFFFC000"/>
        <bgColor rgb="FFFAC090"/>
      </patternFill>
    </fill>
    <fill>
      <patternFill patternType="solid">
        <fgColor rgb="FFFFFF00"/>
        <bgColor rgb="FFFFC000"/>
      </patternFill>
    </fill>
    <fill>
      <patternFill patternType="solid">
        <fgColor rgb="FFFFA500"/>
        <bgColor rgb="FFFFA500"/>
      </patternFill>
    </fill>
    <fill>
      <patternFill patternType="solid">
        <fgColor theme="8" tint="0.39997558519241921"/>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E2EFDA"/>
      </patternFill>
    </fill>
    <fill>
      <patternFill patternType="solid">
        <fgColor rgb="FFFFF2CC"/>
      </patternFill>
    </fill>
    <fill>
      <patternFill patternType="solid">
        <fgColor rgb="FFE9EEF4"/>
        <bgColor rgb="FFE9EEF4"/>
      </patternFill>
    </fill>
    <fill>
      <patternFill patternType="solid">
        <fgColor rgb="FFF8CBAD"/>
        <bgColor rgb="FFF8CBAD"/>
      </patternFill>
    </fill>
    <fill>
      <patternFill patternType="solid">
        <fgColor rgb="FFDCE6F2"/>
        <bgColor rgb="FF000000"/>
      </patternFill>
    </fill>
    <fill>
      <patternFill patternType="solid">
        <fgColor rgb="FFFFA500"/>
        <bgColor rgb="FF000000"/>
      </patternFill>
    </fill>
    <fill>
      <patternFill patternType="solid">
        <fgColor theme="4" tint="0.79998168889431442"/>
        <bgColor indexed="64"/>
      </patternFill>
    </fill>
    <fill>
      <patternFill patternType="solid">
        <fgColor theme="4" tint="0.79998168889431442"/>
        <bgColor rgb="FFE3DFEB"/>
      </patternFill>
    </fill>
    <fill>
      <patternFill patternType="solid">
        <fgColor theme="4" tint="0.79998168889431442"/>
        <bgColor rgb="FFFFA500"/>
      </patternFill>
    </fill>
  </fills>
  <borders count="35">
    <border>
      <left/>
      <right/>
      <top/>
      <bottom/>
      <diagonal/>
    </border>
    <border>
      <left style="thick">
        <color rgb="FF00B050"/>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medium">
        <color auto="1"/>
      </right>
      <top/>
      <bottom/>
      <diagonal/>
    </border>
    <border>
      <left style="medium">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0AFAA"/>
      </left>
      <right style="thin">
        <color rgb="FFB0AFAA"/>
      </right>
      <top style="thin">
        <color rgb="FFB0AFAA"/>
      </top>
      <bottom style="thin">
        <color rgb="FFB0AFAA"/>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left/>
      <right/>
      <top style="thin">
        <color rgb="FFB0AFAA"/>
      </top>
      <bottom style="thin">
        <color rgb="FFB0AFAA"/>
      </bottom>
      <diagonal/>
    </border>
    <border>
      <left/>
      <right style="thin">
        <color rgb="FFB0AFAA"/>
      </right>
      <top style="thin">
        <color rgb="FFB0AFAA"/>
      </top>
      <bottom style="thin">
        <color rgb="FFB0AFAA"/>
      </bottom>
      <diagonal/>
    </border>
    <border>
      <left style="thin">
        <color rgb="FFB0AFAA"/>
      </left>
      <right style="thin">
        <color rgb="FFB0AFAA"/>
      </right>
      <top/>
      <bottom/>
      <diagonal/>
    </border>
    <border>
      <left style="thin">
        <color rgb="FFB0AFAA"/>
      </left>
      <right style="thin">
        <color rgb="FFB0AFAA"/>
      </right>
      <top/>
      <bottom style="thin">
        <color rgb="FFB0AFAA"/>
      </bottom>
      <diagonal/>
    </border>
    <border>
      <left/>
      <right style="thin">
        <color auto="1"/>
      </right>
      <top/>
      <bottom/>
      <diagonal/>
    </border>
    <border>
      <left/>
      <right style="medium">
        <color auto="1"/>
      </right>
      <top/>
      <bottom/>
      <diagonal/>
    </border>
    <border>
      <left/>
      <right style="medium">
        <color auto="1"/>
      </right>
      <top style="thin">
        <color auto="1"/>
      </top>
      <bottom/>
      <diagonal/>
    </border>
    <border>
      <left/>
      <right/>
      <top style="medium">
        <color auto="1"/>
      </top>
      <bottom style="thin">
        <color auto="1"/>
      </bottom>
      <diagonal/>
    </border>
    <border>
      <left style="medium">
        <color auto="1"/>
      </left>
      <right/>
      <top/>
      <bottom style="thin">
        <color auto="1"/>
      </bottom>
      <diagonal/>
    </border>
    <border>
      <left/>
      <right style="medium">
        <color auto="1"/>
      </right>
      <top style="thin">
        <color auto="1"/>
      </top>
      <bottom style="thin">
        <color auto="1"/>
      </bottom>
      <diagonal/>
    </border>
  </borders>
  <cellStyleXfs count="3">
    <xf numFmtId="0" fontId="0" fillId="0" borderId="0"/>
    <xf numFmtId="9" fontId="2" fillId="0" borderId="0"/>
    <xf numFmtId="0" fontId="1" fillId="0" borderId="0"/>
  </cellStyleXfs>
  <cellXfs count="428">
    <xf numFmtId="0" fontId="0" fillId="0" borderId="0" xfId="0"/>
    <xf numFmtId="0" fontId="0" fillId="2" borderId="0" xfId="0" applyFill="1"/>
    <xf numFmtId="0" fontId="4" fillId="3" borderId="0" xfId="0" applyFont="1" applyFill="1"/>
    <xf numFmtId="0" fontId="0" fillId="3" borderId="0" xfId="0" applyFill="1"/>
    <xf numFmtId="0" fontId="5" fillId="3" borderId="0" xfId="0" applyFont="1" applyFill="1" applyAlignment="1">
      <alignment horizontal="left" indent="3"/>
    </xf>
    <xf numFmtId="0" fontId="6" fillId="3" borderId="0" xfId="0" applyFont="1" applyFill="1"/>
    <xf numFmtId="0" fontId="7" fillId="3" borderId="0" xfId="0" applyFont="1" applyFill="1" applyAlignment="1">
      <alignment horizontal="left" indent="2"/>
    </xf>
    <xf numFmtId="0" fontId="0" fillId="4" borderId="0" xfId="0" applyFill="1"/>
    <xf numFmtId="0" fontId="9" fillId="0" borderId="0" xfId="0" applyFont="1"/>
    <xf numFmtId="0" fontId="9" fillId="0" borderId="0" xfId="0" applyFont="1" applyAlignment="1">
      <alignment horizontal="center" vertical="center"/>
    </xf>
    <xf numFmtId="0" fontId="9" fillId="5" borderId="0" xfId="0" applyFont="1" applyFill="1"/>
    <xf numFmtId="0" fontId="10" fillId="0" borderId="0" xfId="0" applyFont="1"/>
    <xf numFmtId="0" fontId="10" fillId="0" borderId="0" xfId="0" applyFont="1" applyAlignment="1">
      <alignment horizontal="center" vertical="center"/>
    </xf>
    <xf numFmtId="0" fontId="8" fillId="0" borderId="3" xfId="0" applyFont="1" applyBorder="1" applyAlignment="1">
      <alignment horizontal="center" vertical="center"/>
    </xf>
    <xf numFmtId="0" fontId="8" fillId="7" borderId="3" xfId="0" applyFont="1" applyFill="1" applyBorder="1" applyAlignment="1">
      <alignment horizontal="center" vertical="center"/>
    </xf>
    <xf numFmtId="0" fontId="11" fillId="7" borderId="3" xfId="0" applyFont="1" applyFill="1" applyBorder="1" applyAlignment="1">
      <alignment horizontal="center" vertical="center"/>
    </xf>
    <xf numFmtId="0" fontId="12" fillId="0" borderId="3" xfId="0" applyFont="1" applyBorder="1" applyAlignment="1">
      <alignment horizontal="center" vertical="center"/>
    </xf>
    <xf numFmtId="0" fontId="9" fillId="0" borderId="3" xfId="0" applyFont="1" applyBorder="1" applyAlignment="1">
      <alignment horizontal="left" vertical="center" wrapText="1"/>
    </xf>
    <xf numFmtId="0" fontId="9" fillId="0" borderId="3" xfId="0" applyFont="1" applyBorder="1" applyAlignment="1">
      <alignment horizontal="center" vertical="center" wrapText="1"/>
    </xf>
    <xf numFmtId="0" fontId="9" fillId="0" borderId="3" xfId="0" applyFont="1" applyBorder="1" applyAlignment="1">
      <alignment vertical="center" wrapText="1"/>
    </xf>
    <xf numFmtId="9" fontId="9" fillId="0" borderId="3" xfId="0" applyNumberFormat="1" applyFont="1" applyBorder="1" applyAlignment="1">
      <alignment horizontal="center" vertical="center" wrapText="1"/>
    </xf>
    <xf numFmtId="9" fontId="9" fillId="0" borderId="3" xfId="0" applyNumberFormat="1" applyFont="1" applyBorder="1" applyAlignment="1">
      <alignment vertical="center" wrapText="1"/>
    </xf>
    <xf numFmtId="0" fontId="11" fillId="7" borderId="3" xfId="0" applyFont="1" applyFill="1" applyBorder="1" applyAlignment="1">
      <alignment horizontal="center"/>
    </xf>
    <xf numFmtId="0" fontId="8" fillId="4" borderId="3" xfId="0" applyFont="1" applyFill="1" applyBorder="1" applyAlignment="1">
      <alignment horizontal="center" vertical="center"/>
    </xf>
    <xf numFmtId="0" fontId="12" fillId="4" borderId="3" xfId="0" applyFont="1" applyFill="1" applyBorder="1" applyAlignment="1">
      <alignment horizontal="center" vertical="center"/>
    </xf>
    <xf numFmtId="0" fontId="9" fillId="4" borderId="3" xfId="0" applyFont="1" applyFill="1" applyBorder="1" applyAlignment="1">
      <alignment horizontal="left" vertical="center" wrapText="1"/>
    </xf>
    <xf numFmtId="0" fontId="9" fillId="4" borderId="3" xfId="0" applyFont="1" applyFill="1" applyBorder="1" applyAlignment="1">
      <alignment horizontal="center" vertical="center" wrapText="1"/>
    </xf>
    <xf numFmtId="0" fontId="9" fillId="4" borderId="0" xfId="0" applyFont="1" applyFill="1" applyAlignment="1">
      <alignment horizontal="left" vertical="center"/>
    </xf>
    <xf numFmtId="0" fontId="9" fillId="0" borderId="0" xfId="0" applyFont="1" applyAlignment="1">
      <alignment horizontal="left" vertical="center"/>
    </xf>
    <xf numFmtId="0" fontId="9" fillId="4" borderId="0" xfId="0" applyFont="1" applyFill="1"/>
    <xf numFmtId="0" fontId="8" fillId="4" borderId="3"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9" fillId="4" borderId="3" xfId="0" applyFont="1" applyFill="1" applyBorder="1" applyAlignment="1">
      <alignment vertical="center" wrapText="1"/>
    </xf>
    <xf numFmtId="0" fontId="9" fillId="4" borderId="0" xfId="0" applyFont="1" applyFill="1" applyAlignment="1">
      <alignment vertical="center"/>
    </xf>
    <xf numFmtId="0" fontId="9" fillId="4" borderId="3" xfId="0" applyFont="1" applyFill="1" applyBorder="1" applyAlignment="1">
      <alignment horizontal="right" vertical="center" wrapText="1"/>
    </xf>
    <xf numFmtId="3" fontId="9" fillId="0" borderId="3" xfId="0" applyNumberFormat="1" applyFont="1" applyBorder="1" applyAlignment="1">
      <alignment horizontal="center" vertical="center" wrapText="1"/>
    </xf>
    <xf numFmtId="0" fontId="9" fillId="4" borderId="0" xfId="0" applyFont="1" applyFill="1" applyAlignment="1">
      <alignment horizontal="center" vertical="center"/>
    </xf>
    <xf numFmtId="0" fontId="13" fillId="4" borderId="3" xfId="0" applyFont="1" applyFill="1" applyBorder="1" applyAlignment="1">
      <alignment horizontal="left" vertical="center" wrapText="1"/>
    </xf>
    <xf numFmtId="0" fontId="9" fillId="11" borderId="3" xfId="0" applyFont="1" applyFill="1" applyBorder="1" applyAlignment="1">
      <alignment horizontal="center" vertical="center" wrapText="1"/>
    </xf>
    <xf numFmtId="3" fontId="9" fillId="3" borderId="3" xfId="0" applyNumberFormat="1" applyFont="1" applyFill="1" applyBorder="1" applyAlignment="1">
      <alignment horizontal="center" vertical="center" wrapText="1"/>
    </xf>
    <xf numFmtId="3" fontId="9" fillId="11" borderId="3" xfId="0" applyNumberFormat="1" applyFont="1" applyFill="1" applyBorder="1" applyAlignment="1">
      <alignment horizontal="center" vertical="center" wrapText="1"/>
    </xf>
    <xf numFmtId="3" fontId="9" fillId="2" borderId="3" xfId="0" applyNumberFormat="1"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12" borderId="3" xfId="0" applyFont="1" applyFill="1" applyBorder="1" applyAlignment="1">
      <alignment horizontal="center" vertical="center" wrapText="1"/>
    </xf>
    <xf numFmtId="0" fontId="9" fillId="12" borderId="3" xfId="0" applyFont="1" applyFill="1" applyBorder="1" applyAlignment="1">
      <alignment vertical="center" wrapText="1"/>
    </xf>
    <xf numFmtId="0" fontId="9" fillId="3" borderId="3" xfId="0" applyFont="1" applyFill="1" applyBorder="1" applyAlignment="1">
      <alignment horizontal="left" vertical="center" wrapText="1"/>
    </xf>
    <xf numFmtId="0" fontId="9" fillId="3" borderId="3" xfId="0" applyFont="1" applyFill="1" applyBorder="1" applyAlignment="1">
      <alignment vertical="center" wrapText="1"/>
    </xf>
    <xf numFmtId="0" fontId="17" fillId="0" borderId="3" xfId="0" applyFont="1" applyBorder="1" applyAlignment="1">
      <alignment horizontal="center" vertical="center" wrapText="1"/>
    </xf>
    <xf numFmtId="2" fontId="17" fillId="0" borderId="3" xfId="0" applyNumberFormat="1" applyFont="1" applyBorder="1" applyAlignment="1">
      <alignment horizontal="center" vertical="center" wrapText="1"/>
    </xf>
    <xf numFmtId="0" fontId="18" fillId="0" borderId="3" xfId="0" applyFont="1" applyBorder="1" applyAlignment="1">
      <alignment horizontal="center" vertical="center" wrapText="1"/>
    </xf>
    <xf numFmtId="2" fontId="18" fillId="0" borderId="3" xfId="0" applyNumberFormat="1" applyFont="1" applyBorder="1" applyAlignment="1">
      <alignment horizontal="center" vertical="center" wrapText="1"/>
    </xf>
    <xf numFmtId="0" fontId="15" fillId="14" borderId="3" xfId="0" applyFont="1" applyFill="1" applyBorder="1" applyAlignment="1">
      <alignment horizontal="left" vertical="center"/>
    </xf>
    <xf numFmtId="0" fontId="19" fillId="14" borderId="3" xfId="0" applyFont="1" applyFill="1" applyBorder="1" applyAlignment="1">
      <alignment horizontal="center" vertical="center" wrapText="1"/>
    </xf>
    <xf numFmtId="2" fontId="16" fillId="0" borderId="3" xfId="0" applyNumberFormat="1" applyFont="1" applyBorder="1" applyAlignment="1">
      <alignment horizontal="center" vertical="center" wrapText="1"/>
    </xf>
    <xf numFmtId="0" fontId="21" fillId="0" borderId="3" xfId="0" applyFont="1" applyBorder="1" applyAlignment="1">
      <alignment vertical="center" wrapText="1"/>
    </xf>
    <xf numFmtId="0" fontId="20" fillId="0" borderId="3" xfId="0" applyFont="1" applyBorder="1" applyAlignment="1">
      <alignment vertical="center" wrapText="1"/>
    </xf>
    <xf numFmtId="0" fontId="22" fillId="0" borderId="3" xfId="0" applyFont="1" applyBorder="1" applyAlignment="1">
      <alignment vertical="center" wrapText="1"/>
    </xf>
    <xf numFmtId="0" fontId="24" fillId="0" borderId="3" xfId="0" applyFont="1" applyBorder="1" applyAlignment="1">
      <alignment horizontal="center" vertical="center" wrapText="1"/>
    </xf>
    <xf numFmtId="0" fontId="25" fillId="0" borderId="3" xfId="0" applyFont="1" applyBorder="1" applyAlignment="1">
      <alignment horizontal="center" vertical="center" wrapText="1"/>
    </xf>
    <xf numFmtId="0" fontId="15" fillId="16" borderId="3" xfId="0" applyFont="1" applyFill="1" applyBorder="1" applyAlignment="1">
      <alignment horizontal="left" vertical="center"/>
    </xf>
    <xf numFmtId="0" fontId="25" fillId="16" borderId="3" xfId="0" applyFont="1" applyFill="1" applyBorder="1" applyAlignment="1">
      <alignment horizontal="center" vertical="center" wrapText="1"/>
    </xf>
    <xf numFmtId="3" fontId="25" fillId="16" borderId="3" xfId="0" applyNumberFormat="1" applyFont="1" applyFill="1" applyBorder="1" applyAlignment="1">
      <alignment horizontal="center" vertical="center" wrapText="1"/>
    </xf>
    <xf numFmtId="0" fontId="21" fillId="0" borderId="3" xfId="0" applyFont="1" applyBorder="1" applyAlignment="1">
      <alignment vertical="center"/>
    </xf>
    <xf numFmtId="0" fontId="15" fillId="13" borderId="4" xfId="0" applyFont="1" applyFill="1" applyBorder="1" applyAlignment="1">
      <alignment horizontal="center" vertical="center"/>
    </xf>
    <xf numFmtId="0" fontId="15" fillId="13" borderId="5" xfId="0" applyFont="1" applyFill="1" applyBorder="1" applyAlignment="1">
      <alignment horizontal="center" vertical="center"/>
    </xf>
    <xf numFmtId="0" fontId="15" fillId="0" borderId="3" xfId="0" applyFont="1" applyBorder="1" applyAlignment="1">
      <alignment vertical="center" wrapText="1"/>
    </xf>
    <xf numFmtId="0" fontId="24" fillId="3" borderId="3" xfId="0" applyFont="1" applyFill="1" applyBorder="1" applyAlignment="1">
      <alignment horizontal="center" vertical="center" wrapText="1"/>
    </xf>
    <xf numFmtId="1" fontId="24" fillId="3" borderId="3" xfId="0" applyNumberFormat="1" applyFont="1" applyFill="1" applyBorder="1" applyAlignment="1">
      <alignment horizontal="center" vertical="center" wrapText="1"/>
    </xf>
    <xf numFmtId="0" fontId="25" fillId="3" borderId="3" xfId="0" applyFont="1" applyFill="1" applyBorder="1" applyAlignment="1">
      <alignment horizontal="center" vertical="center" wrapText="1"/>
    </xf>
    <xf numFmtId="0" fontId="25" fillId="14" borderId="3" xfId="0" applyFont="1" applyFill="1" applyBorder="1" applyAlignment="1">
      <alignment horizontal="center" vertical="center" wrapText="1"/>
    </xf>
    <xf numFmtId="3" fontId="25" fillId="14" borderId="3" xfId="0" applyNumberFormat="1" applyFont="1" applyFill="1" applyBorder="1" applyAlignment="1">
      <alignment horizontal="center" vertical="center" wrapText="1"/>
    </xf>
    <xf numFmtId="0" fontId="15" fillId="3" borderId="3" xfId="0" applyFont="1" applyFill="1" applyBorder="1" applyAlignment="1">
      <alignment vertical="center" wrapText="1"/>
    </xf>
    <xf numFmtId="0" fontId="21" fillId="18" borderId="3" xfId="0" applyFont="1" applyFill="1" applyBorder="1" applyAlignment="1">
      <alignment vertical="center"/>
    </xf>
    <xf numFmtId="0" fontId="20" fillId="18" borderId="3" xfId="0" applyFont="1" applyFill="1" applyBorder="1" applyAlignment="1">
      <alignment vertical="center"/>
    </xf>
    <xf numFmtId="0" fontId="16" fillId="18" borderId="15" xfId="0" applyFont="1" applyFill="1" applyBorder="1" applyAlignment="1">
      <alignment horizontal="left" vertical="center"/>
    </xf>
    <xf numFmtId="0" fontId="16" fillId="18" borderId="16" xfId="0" applyFont="1" applyFill="1" applyBorder="1" applyAlignment="1">
      <alignment horizontal="left" vertical="center"/>
    </xf>
    <xf numFmtId="0" fontId="16" fillId="18" borderId="13" xfId="0" applyFont="1" applyFill="1" applyBorder="1" applyAlignment="1">
      <alignment horizontal="left" vertical="center"/>
    </xf>
    <xf numFmtId="0" fontId="21" fillId="18" borderId="15" xfId="0" applyFont="1" applyFill="1" applyBorder="1" applyAlignment="1">
      <alignment horizontal="left" vertical="center"/>
    </xf>
    <xf numFmtId="0" fontId="21" fillId="18" borderId="13" xfId="0" applyFont="1" applyFill="1" applyBorder="1" applyAlignment="1">
      <alignment horizontal="left" vertical="center"/>
    </xf>
    <xf numFmtId="164" fontId="25" fillId="16" borderId="3" xfId="0" applyNumberFormat="1" applyFont="1" applyFill="1" applyBorder="1" applyAlignment="1">
      <alignment horizontal="center" vertical="center" wrapText="1"/>
    </xf>
    <xf numFmtId="0" fontId="20" fillId="0" borderId="3" xfId="0" applyFont="1" applyBorder="1" applyAlignment="1">
      <alignment vertical="center"/>
    </xf>
    <xf numFmtId="0" fontId="15" fillId="0" borderId="3" xfId="0" applyFont="1" applyBorder="1" applyAlignment="1">
      <alignment vertical="center"/>
    </xf>
    <xf numFmtId="0" fontId="15" fillId="14" borderId="3" xfId="0" applyFont="1" applyFill="1" applyBorder="1" applyAlignment="1">
      <alignment vertical="center"/>
    </xf>
    <xf numFmtId="0" fontId="27" fillId="18" borderId="15" xfId="0" applyFont="1" applyFill="1" applyBorder="1" applyAlignment="1">
      <alignment horizontal="left" vertical="center"/>
    </xf>
    <xf numFmtId="1" fontId="24" fillId="0" borderId="3" xfId="0" applyNumberFormat="1" applyFont="1" applyBorder="1" applyAlignment="1">
      <alignment horizontal="center" vertical="center" wrapText="1"/>
    </xf>
    <xf numFmtId="0" fontId="16" fillId="0" borderId="17" xfId="0" applyFont="1" applyBorder="1" applyAlignment="1">
      <alignment horizontal="center" vertical="center" wrapText="1"/>
    </xf>
    <xf numFmtId="0" fontId="16" fillId="3" borderId="18" xfId="0" applyFont="1" applyFill="1" applyBorder="1" applyAlignment="1">
      <alignment horizontal="left" vertical="center" wrapText="1"/>
    </xf>
    <xf numFmtId="0" fontId="16" fillId="3" borderId="2" xfId="0" applyFont="1" applyFill="1" applyBorder="1" applyAlignment="1">
      <alignment horizontal="left" vertical="center" wrapText="1"/>
    </xf>
    <xf numFmtId="0" fontId="16" fillId="3" borderId="19" xfId="0" applyFont="1" applyFill="1" applyBorder="1" applyAlignment="1">
      <alignment horizontal="left" vertical="center" wrapText="1"/>
    </xf>
    <xf numFmtId="0" fontId="28" fillId="18" borderId="15" xfId="0" applyFont="1" applyFill="1" applyBorder="1" applyAlignment="1">
      <alignment horizontal="left" vertical="center"/>
    </xf>
    <xf numFmtId="0" fontId="28" fillId="18" borderId="16" xfId="0" applyFont="1" applyFill="1" applyBorder="1" applyAlignment="1">
      <alignment horizontal="left" vertical="center"/>
    </xf>
    <xf numFmtId="0" fontId="28" fillId="18" borderId="13" xfId="0" applyFont="1" applyFill="1" applyBorder="1" applyAlignment="1">
      <alignment horizontal="left" vertical="center"/>
    </xf>
    <xf numFmtId="0" fontId="29" fillId="0" borderId="0" xfId="0" applyFont="1"/>
    <xf numFmtId="0" fontId="12" fillId="0" borderId="3" xfId="0" applyFont="1" applyBorder="1" applyAlignment="1">
      <alignment horizontal="center" vertical="center" wrapText="1"/>
    </xf>
    <xf numFmtId="0" fontId="9" fillId="0" borderId="3" xfId="0" applyFont="1" applyBorder="1" applyAlignment="1">
      <alignment horizontal="right" vertical="center" wrapText="1"/>
    </xf>
    <xf numFmtId="3" fontId="9" fillId="0" borderId="3" xfId="0" applyNumberFormat="1" applyFont="1" applyBorder="1" applyAlignment="1">
      <alignment horizontal="left" vertical="center" wrapText="1"/>
    </xf>
    <xf numFmtId="9" fontId="9" fillId="0" borderId="3" xfId="0" applyNumberFormat="1" applyFont="1" applyBorder="1" applyAlignment="1">
      <alignment horizontal="left" vertical="center" wrapText="1"/>
    </xf>
    <xf numFmtId="0" fontId="8" fillId="0" borderId="3" xfId="0" applyFont="1" applyBorder="1" applyAlignment="1">
      <alignment horizontal="center" vertical="center" wrapText="1"/>
    </xf>
    <xf numFmtId="0" fontId="9" fillId="0" borderId="0" xfId="0" applyFont="1" applyAlignment="1">
      <alignment vertical="center"/>
    </xf>
    <xf numFmtId="9" fontId="2" fillId="0" borderId="3" xfId="1" applyBorder="1" applyAlignment="1">
      <alignment horizontal="center" vertical="center" wrapText="1"/>
    </xf>
    <xf numFmtId="9" fontId="9" fillId="20" borderId="3" xfId="0" applyNumberFormat="1" applyFont="1" applyFill="1" applyBorder="1" applyAlignment="1">
      <alignment vertical="center" wrapText="1"/>
    </xf>
    <xf numFmtId="3" fontId="9" fillId="20" borderId="3" xfId="0" applyNumberFormat="1" applyFont="1" applyFill="1" applyBorder="1" applyAlignment="1">
      <alignment vertical="center" wrapText="1"/>
    </xf>
    <xf numFmtId="0" fontId="9" fillId="20" borderId="3" xfId="0" applyFont="1" applyFill="1" applyBorder="1" applyAlignment="1">
      <alignment horizontal="left" vertical="center" wrapText="1"/>
    </xf>
    <xf numFmtId="3" fontId="9" fillId="20" borderId="3" xfId="0" applyNumberFormat="1" applyFont="1" applyFill="1" applyBorder="1" applyAlignment="1">
      <alignment horizontal="left" vertical="center" wrapText="1"/>
    </xf>
    <xf numFmtId="3" fontId="9" fillId="20" borderId="3" xfId="0" applyNumberFormat="1" applyFont="1" applyFill="1" applyBorder="1" applyAlignment="1">
      <alignment horizontal="center" vertical="center" wrapText="1"/>
    </xf>
    <xf numFmtId="9" fontId="9" fillId="20" borderId="3" xfId="0" applyNumberFormat="1" applyFont="1" applyFill="1" applyBorder="1" applyAlignment="1">
      <alignment horizontal="left" vertical="center" wrapText="1"/>
    </xf>
    <xf numFmtId="0" fontId="10" fillId="20" borderId="3" xfId="0" applyFont="1" applyFill="1" applyBorder="1" applyAlignment="1">
      <alignment horizontal="left" vertical="center" wrapText="1"/>
    </xf>
    <xf numFmtId="0" fontId="9" fillId="20" borderId="3" xfId="0" applyFont="1" applyFill="1" applyBorder="1" applyAlignment="1">
      <alignment horizontal="center" vertical="center" wrapText="1"/>
    </xf>
    <xf numFmtId="9" fontId="9" fillId="20" borderId="3" xfId="0" applyNumberFormat="1" applyFont="1" applyFill="1" applyBorder="1" applyAlignment="1">
      <alignment horizontal="center" vertical="center" wrapText="1"/>
    </xf>
    <xf numFmtId="164" fontId="9" fillId="20" borderId="3" xfId="0" applyNumberFormat="1" applyFont="1" applyFill="1" applyBorder="1" applyAlignment="1">
      <alignment vertical="center" wrapText="1"/>
    </xf>
    <xf numFmtId="164" fontId="9" fillId="20" borderId="3" xfId="0" applyNumberFormat="1" applyFont="1" applyFill="1" applyBorder="1" applyAlignment="1">
      <alignment horizontal="left" vertical="center" wrapText="1"/>
    </xf>
    <xf numFmtId="165" fontId="9" fillId="20" borderId="3" xfId="0" applyNumberFormat="1" applyFont="1" applyFill="1" applyBorder="1" applyAlignment="1">
      <alignment horizontal="left" vertical="center" wrapText="1"/>
    </xf>
    <xf numFmtId="0" fontId="9" fillId="20" borderId="3" xfId="0" applyFont="1" applyFill="1" applyBorder="1" applyAlignment="1">
      <alignment vertical="center" wrapText="1"/>
    </xf>
    <xf numFmtId="0" fontId="9" fillId="20" borderId="0" xfId="0" applyFont="1" applyFill="1" applyAlignment="1">
      <alignment horizontal="center"/>
    </xf>
    <xf numFmtId="3" fontId="9" fillId="19" borderId="3" xfId="0" applyNumberFormat="1" applyFont="1" applyFill="1" applyBorder="1" applyAlignment="1">
      <alignment horizontal="center" vertical="center" wrapText="1"/>
    </xf>
    <xf numFmtId="9" fontId="9" fillId="19" borderId="3" xfId="0" applyNumberFormat="1" applyFont="1" applyFill="1" applyBorder="1" applyAlignment="1">
      <alignment horizontal="center" vertical="center" wrapText="1"/>
    </xf>
    <xf numFmtId="0" fontId="31" fillId="3" borderId="3" xfId="0" applyFont="1" applyFill="1" applyBorder="1" applyAlignment="1">
      <alignment horizontal="center" vertical="center" wrapText="1"/>
    </xf>
    <xf numFmtId="0" fontId="1" fillId="0" borderId="0" xfId="2"/>
    <xf numFmtId="0" fontId="31" fillId="0" borderId="3" xfId="2" applyFont="1" applyBorder="1" applyAlignment="1">
      <alignment horizontal="center" vertical="center" wrapText="1"/>
    </xf>
    <xf numFmtId="0" fontId="35" fillId="0" borderId="3" xfId="2" applyFont="1" applyBorder="1" applyAlignment="1">
      <alignment horizontal="center" vertical="center" wrapText="1"/>
    </xf>
    <xf numFmtId="0" fontId="33" fillId="23" borderId="3" xfId="2" applyFont="1" applyFill="1" applyBorder="1" applyAlignment="1">
      <alignment horizontal="left" vertical="center"/>
    </xf>
    <xf numFmtId="0" fontId="35" fillId="23" borderId="3" xfId="2" applyFont="1" applyFill="1" applyBorder="1" applyAlignment="1">
      <alignment horizontal="center" vertical="center" wrapText="1"/>
    </xf>
    <xf numFmtId="3" fontId="35" fillId="23" borderId="3" xfId="2" applyNumberFormat="1" applyFont="1" applyFill="1" applyBorder="1" applyAlignment="1">
      <alignment horizontal="center" vertical="center" wrapText="1"/>
    </xf>
    <xf numFmtId="0" fontId="37" fillId="0" borderId="3" xfId="2" applyFont="1" applyBorder="1" applyAlignment="1">
      <alignment vertical="center" wrapText="1"/>
    </xf>
    <xf numFmtId="0" fontId="0" fillId="0" borderId="0" xfId="0"/>
    <xf numFmtId="0" fontId="0" fillId="0" borderId="13" xfId="0" applyBorder="1"/>
    <xf numFmtId="0" fontId="15" fillId="13" borderId="3" xfId="0" applyFont="1" applyFill="1" applyBorder="1" applyAlignment="1">
      <alignment horizontal="center" vertical="center"/>
    </xf>
    <xf numFmtId="0" fontId="0" fillId="0" borderId="17" xfId="0" applyBorder="1"/>
    <xf numFmtId="0" fontId="0" fillId="0" borderId="24" xfId="0" applyBorder="1"/>
    <xf numFmtId="0" fontId="15" fillId="0" borderId="3" xfId="0" applyFont="1" applyBorder="1" applyAlignment="1">
      <alignment horizontal="center" vertical="center"/>
    </xf>
    <xf numFmtId="0" fontId="15" fillId="0" borderId="3" xfId="0" applyFont="1" applyBorder="1" applyAlignment="1">
      <alignment horizontal="left" vertical="center"/>
    </xf>
    <xf numFmtId="0" fontId="10" fillId="6" borderId="3" xfId="0" applyFont="1" applyFill="1" applyBorder="1" applyAlignment="1">
      <alignment vertical="center" wrapText="1"/>
    </xf>
    <xf numFmtId="0" fontId="10" fillId="6" borderId="3" xfId="0" applyFont="1" applyFill="1" applyBorder="1" applyAlignment="1">
      <alignment horizontal="center" vertical="center" wrapText="1"/>
    </xf>
    <xf numFmtId="0" fontId="30" fillId="19" borderId="20" xfId="0" applyFont="1" applyFill="1" applyBorder="1" applyAlignment="1">
      <alignment horizontal="center" vertical="center" wrapText="1"/>
    </xf>
    <xf numFmtId="0" fontId="0" fillId="0" borderId="26" xfId="0" applyBorder="1"/>
    <xf numFmtId="0" fontId="30" fillId="9" borderId="20" xfId="0" applyFont="1" applyFill="1" applyBorder="1" applyAlignment="1">
      <alignment horizontal="center" vertical="center" wrapText="1"/>
    </xf>
    <xf numFmtId="0" fontId="8" fillId="0" borderId="0" xfId="0" applyFont="1" applyAlignment="1">
      <alignment horizontal="center" vertical="center"/>
    </xf>
    <xf numFmtId="0" fontId="30" fillId="8" borderId="20" xfId="0" applyFont="1" applyFill="1" applyBorder="1" applyAlignment="1">
      <alignment horizontal="center" vertical="center" wrapText="1"/>
    </xf>
    <xf numFmtId="0" fontId="33" fillId="0" borderId="3" xfId="2" applyFont="1" applyBorder="1" applyAlignment="1">
      <alignment horizontal="center" vertical="center"/>
    </xf>
    <xf numFmtId="0" fontId="33" fillId="0" borderId="3" xfId="2" applyFont="1" applyBorder="1" applyAlignment="1">
      <alignment horizontal="left" vertical="center"/>
    </xf>
    <xf numFmtId="0" fontId="33" fillId="22" borderId="3" xfId="2" applyFont="1" applyFill="1" applyBorder="1" applyAlignment="1">
      <alignment horizontal="center" vertical="center"/>
    </xf>
    <xf numFmtId="0" fontId="28" fillId="3" borderId="15" xfId="0" applyFont="1" applyFill="1" applyBorder="1" applyAlignment="1">
      <alignment horizontal="center" vertical="center"/>
    </xf>
    <xf numFmtId="0" fontId="0" fillId="0" borderId="0" xfId="0" applyAlignment="1">
      <alignment vertical="center" wrapText="1"/>
    </xf>
    <xf numFmtId="0" fontId="0" fillId="25" borderId="0" xfId="0" applyFill="1" applyAlignment="1">
      <alignment vertical="center" wrapText="1"/>
    </xf>
    <xf numFmtId="167" fontId="2" fillId="26" borderId="3" xfId="1" applyNumberFormat="1" applyFill="1" applyBorder="1" applyAlignment="1">
      <alignment horizontal="center" vertical="center" wrapText="1"/>
    </xf>
    <xf numFmtId="167" fontId="9" fillId="26" borderId="3" xfId="0" applyNumberFormat="1" applyFont="1" applyFill="1" applyBorder="1" applyAlignment="1">
      <alignment horizontal="left" vertical="center" wrapText="1"/>
    </xf>
    <xf numFmtId="167" fontId="9" fillId="26" borderId="3" xfId="0" applyNumberFormat="1" applyFont="1" applyFill="1" applyBorder="1" applyAlignment="1">
      <alignment horizontal="center" vertical="center" wrapText="1"/>
    </xf>
    <xf numFmtId="167" fontId="9" fillId="26" borderId="3" xfId="0" applyNumberFormat="1" applyFont="1" applyFill="1" applyBorder="1" applyAlignment="1">
      <alignment vertical="center" wrapText="1"/>
    </xf>
    <xf numFmtId="0" fontId="9" fillId="26" borderId="3" xfId="0" applyFont="1" applyFill="1" applyBorder="1" applyAlignment="1">
      <alignment vertical="center" wrapText="1"/>
    </xf>
    <xf numFmtId="166" fontId="16" fillId="0" borderId="3" xfId="0" applyNumberFormat="1" applyFont="1" applyBorder="1" applyAlignment="1">
      <alignment horizontal="center" vertical="center" wrapText="1"/>
    </xf>
    <xf numFmtId="166" fontId="34" fillId="0" borderId="3" xfId="2" applyNumberFormat="1" applyFont="1" applyBorder="1" applyAlignment="1">
      <alignment horizontal="center" vertical="center" wrapText="1"/>
    </xf>
    <xf numFmtId="166" fontId="16" fillId="0" borderId="13" xfId="0" applyNumberFormat="1" applyFont="1" applyBorder="1" applyAlignment="1">
      <alignment horizontal="center" vertical="center" wrapText="1"/>
    </xf>
    <xf numFmtId="0" fontId="0" fillId="0" borderId="0" xfId="0"/>
    <xf numFmtId="0" fontId="41" fillId="0" borderId="0" xfId="0" applyFont="1"/>
    <xf numFmtId="0" fontId="40" fillId="13" borderId="3" xfId="0" applyFont="1" applyFill="1" applyBorder="1" applyAlignment="1">
      <alignment horizontal="center" vertical="center"/>
    </xf>
    <xf numFmtId="0" fontId="40" fillId="0" borderId="3" xfId="0" applyFont="1" applyBorder="1" applyAlignment="1">
      <alignment horizontal="center" vertical="center"/>
    </xf>
    <xf numFmtId="0" fontId="40" fillId="0" borderId="3" xfId="0" applyFont="1" applyBorder="1" applyAlignment="1">
      <alignment horizontal="left" vertical="center"/>
    </xf>
    <xf numFmtId="0" fontId="41" fillId="3" borderId="3" xfId="0" applyFont="1" applyFill="1" applyBorder="1" applyAlignment="1">
      <alignment horizontal="center" vertical="center" wrapText="1"/>
    </xf>
    <xf numFmtId="0" fontId="40" fillId="3" borderId="3" xfId="0" applyFont="1" applyFill="1" applyBorder="1" applyAlignment="1">
      <alignment horizontal="center" vertical="center" wrapText="1"/>
    </xf>
    <xf numFmtId="0" fontId="40" fillId="14" borderId="3" xfId="0" applyFont="1" applyFill="1" applyBorder="1" applyAlignment="1">
      <alignment horizontal="left" vertical="center"/>
    </xf>
    <xf numFmtId="0" fontId="40" fillId="14" borderId="3" xfId="0" applyFont="1" applyFill="1" applyBorder="1" applyAlignment="1">
      <alignment horizontal="center" vertical="center" wrapText="1"/>
    </xf>
    <xf numFmtId="0" fontId="41" fillId="3" borderId="0" xfId="0" applyFont="1" applyFill="1"/>
    <xf numFmtId="0" fontId="40" fillId="3" borderId="3" xfId="0" applyFont="1" applyFill="1" applyBorder="1" applyAlignment="1">
      <alignment vertical="center" wrapText="1"/>
    </xf>
    <xf numFmtId="2" fontId="41" fillId="0" borderId="3" xfId="0" applyNumberFormat="1" applyFont="1" applyBorder="1" applyAlignment="1">
      <alignment horizontal="center" vertical="center" wrapText="1"/>
    </xf>
    <xf numFmtId="0" fontId="43" fillId="18" borderId="3" xfId="0" applyFont="1" applyFill="1" applyBorder="1" applyAlignment="1">
      <alignment vertical="center"/>
    </xf>
    <xf numFmtId="0" fontId="39" fillId="18" borderId="3" xfId="0" applyFont="1" applyFill="1" applyBorder="1" applyAlignment="1">
      <alignment vertical="center"/>
    </xf>
    <xf numFmtId="0" fontId="41" fillId="18" borderId="15" xfId="0" applyFont="1" applyFill="1" applyBorder="1" applyAlignment="1">
      <alignment horizontal="left" vertical="center"/>
    </xf>
    <xf numFmtId="0" fontId="41" fillId="18" borderId="16" xfId="0" applyFont="1" applyFill="1" applyBorder="1" applyAlignment="1">
      <alignment horizontal="left" vertical="center"/>
    </xf>
    <xf numFmtId="0" fontId="41" fillId="18" borderId="13" xfId="0" applyFont="1" applyFill="1" applyBorder="1" applyAlignment="1">
      <alignment horizontal="left" vertical="center"/>
    </xf>
    <xf numFmtId="0" fontId="42" fillId="18" borderId="15" xfId="0" applyFont="1" applyFill="1" applyBorder="1" applyAlignment="1">
      <alignment horizontal="left" vertical="center"/>
    </xf>
    <xf numFmtId="0" fontId="42" fillId="18" borderId="16" xfId="0" applyFont="1" applyFill="1" applyBorder="1" applyAlignment="1">
      <alignment horizontal="left" vertical="center"/>
    </xf>
    <xf numFmtId="0" fontId="21" fillId="18" borderId="15" xfId="0" applyFont="1" applyFill="1" applyBorder="1" applyAlignment="1">
      <alignment horizontal="left" vertical="center" wrapText="1"/>
    </xf>
    <xf numFmtId="0" fontId="0" fillId="31" borderId="13" xfId="0" applyFill="1" applyBorder="1" applyAlignment="1"/>
    <xf numFmtId="0" fontId="0" fillId="31" borderId="16" xfId="0" applyFill="1" applyBorder="1" applyAlignment="1"/>
    <xf numFmtId="0" fontId="20" fillId="32" borderId="16" xfId="0" applyFont="1" applyFill="1" applyBorder="1" applyAlignment="1">
      <alignment vertical="center"/>
    </xf>
    <xf numFmtId="0" fontId="20" fillId="32" borderId="13" xfId="0" applyFont="1" applyFill="1" applyBorder="1" applyAlignment="1">
      <alignment vertical="center"/>
    </xf>
    <xf numFmtId="0" fontId="20" fillId="33" borderId="13" xfId="0" applyFont="1" applyFill="1" applyBorder="1" applyAlignment="1">
      <alignment horizontal="left" vertical="center"/>
    </xf>
    <xf numFmtId="0" fontId="16" fillId="32" borderId="16" xfId="0" applyFont="1" applyFill="1" applyBorder="1" applyAlignment="1">
      <alignment horizontal="left" vertical="center"/>
    </xf>
    <xf numFmtId="0" fontId="16" fillId="32" borderId="13" xfId="0" applyFont="1" applyFill="1" applyBorder="1" applyAlignment="1">
      <alignment horizontal="left" vertical="center"/>
    </xf>
    <xf numFmtId="0" fontId="20" fillId="32" borderId="13" xfId="0" applyFont="1" applyFill="1" applyBorder="1" applyAlignment="1">
      <alignment horizontal="left" vertical="center"/>
    </xf>
    <xf numFmtId="0" fontId="20" fillId="33" borderId="16" xfId="0" applyFont="1" applyFill="1" applyBorder="1" applyAlignment="1">
      <alignment vertical="center"/>
    </xf>
    <xf numFmtId="0" fontId="46" fillId="3" borderId="3" xfId="0" applyFont="1" applyFill="1" applyBorder="1" applyAlignment="1">
      <alignment horizontal="center" vertical="center" wrapText="1"/>
    </xf>
    <xf numFmtId="0" fontId="47" fillId="3" borderId="3" xfId="0" applyFont="1" applyFill="1" applyBorder="1" applyAlignment="1">
      <alignment horizontal="center" vertical="center" wrapText="1"/>
    </xf>
    <xf numFmtId="0" fontId="41" fillId="3" borderId="3" xfId="0" applyFont="1" applyFill="1" applyBorder="1" applyAlignment="1">
      <alignment horizontal="center" vertical="center"/>
    </xf>
    <xf numFmtId="0" fontId="47" fillId="14" borderId="3" xfId="0" applyFont="1" applyFill="1" applyBorder="1" applyAlignment="1">
      <alignment horizontal="center" vertical="center" wrapText="1"/>
    </xf>
    <xf numFmtId="0" fontId="45" fillId="0" borderId="0" xfId="0" applyFont="1"/>
    <xf numFmtId="0" fontId="48" fillId="18" borderId="3" xfId="0" applyFont="1" applyFill="1" applyBorder="1" applyAlignment="1">
      <alignment vertical="center"/>
    </xf>
    <xf numFmtId="0" fontId="45" fillId="18" borderId="3" xfId="0" applyFont="1" applyFill="1" applyBorder="1" applyAlignment="1">
      <alignment vertical="center"/>
    </xf>
    <xf numFmtId="0" fontId="43" fillId="18" borderId="15" xfId="0" applyFont="1" applyFill="1" applyBorder="1" applyAlignment="1">
      <alignment horizontal="left" vertical="center"/>
    </xf>
    <xf numFmtId="0" fontId="43" fillId="18" borderId="13" xfId="0" applyFont="1" applyFill="1" applyBorder="1" applyAlignment="1">
      <alignment horizontal="left" vertical="center"/>
    </xf>
    <xf numFmtId="1" fontId="41" fillId="3" borderId="3" xfId="0" applyNumberFormat="1" applyFont="1" applyFill="1" applyBorder="1" applyAlignment="1">
      <alignment horizontal="center" vertical="center" wrapText="1"/>
    </xf>
    <xf numFmtId="3" fontId="40" fillId="14" borderId="3" xfId="0" applyNumberFormat="1" applyFont="1" applyFill="1" applyBorder="1" applyAlignment="1">
      <alignment horizontal="center" vertical="center" wrapText="1"/>
    </xf>
    <xf numFmtId="0" fontId="46" fillId="0" borderId="3" xfId="0" applyFont="1" applyBorder="1" applyAlignment="1">
      <alignment horizontal="center" vertical="center" wrapText="1"/>
    </xf>
    <xf numFmtId="0" fontId="47" fillId="0" borderId="3" xfId="0" applyFont="1" applyBorder="1" applyAlignment="1">
      <alignment horizontal="center" vertical="center" wrapText="1"/>
    </xf>
    <xf numFmtId="0" fontId="40" fillId="16" borderId="3" xfId="0" applyFont="1" applyFill="1" applyBorder="1" applyAlignment="1">
      <alignment horizontal="left" vertical="center"/>
    </xf>
    <xf numFmtId="0" fontId="47" fillId="16" borderId="3" xfId="0" applyFont="1" applyFill="1" applyBorder="1" applyAlignment="1">
      <alignment horizontal="center" vertical="center" wrapText="1"/>
    </xf>
    <xf numFmtId="3" fontId="47" fillId="16" borderId="3" xfId="0" applyNumberFormat="1" applyFont="1" applyFill="1" applyBorder="1" applyAlignment="1">
      <alignment horizontal="center" vertical="center" wrapText="1"/>
    </xf>
    <xf numFmtId="166" fontId="41" fillId="0" borderId="3" xfId="0" applyNumberFormat="1" applyFont="1" applyBorder="1" applyAlignment="1">
      <alignment horizontal="center" vertical="center" wrapText="1"/>
    </xf>
    <xf numFmtId="0" fontId="43" fillId="0" borderId="3" xfId="0" applyFont="1" applyBorder="1" applyAlignment="1">
      <alignment vertical="center" wrapText="1"/>
    </xf>
    <xf numFmtId="0" fontId="39" fillId="0" borderId="3" xfId="0" applyFont="1" applyBorder="1" applyAlignment="1">
      <alignment vertical="center" wrapText="1"/>
    </xf>
    <xf numFmtId="0" fontId="41" fillId="0" borderId="3" xfId="0" applyFont="1" applyBorder="1" applyAlignment="1">
      <alignment horizontal="center" vertical="center" wrapText="1"/>
    </xf>
    <xf numFmtId="0" fontId="40" fillId="0" borderId="3" xfId="0" applyFont="1" applyBorder="1" applyAlignment="1">
      <alignment horizontal="center" vertical="center" wrapText="1"/>
    </xf>
    <xf numFmtId="0" fontId="40" fillId="16" borderId="3" xfId="0" applyFont="1" applyFill="1" applyBorder="1" applyAlignment="1">
      <alignment horizontal="center" vertical="center" wrapText="1"/>
    </xf>
    <xf numFmtId="3" fontId="40" fillId="16" borderId="3" xfId="0" applyNumberFormat="1" applyFont="1" applyFill="1" applyBorder="1" applyAlignment="1">
      <alignment horizontal="center" vertical="center" wrapText="1"/>
    </xf>
    <xf numFmtId="0" fontId="43" fillId="31" borderId="3" xfId="0" applyFont="1" applyFill="1" applyBorder="1" applyAlignment="1">
      <alignment vertical="center" wrapText="1"/>
    </xf>
    <xf numFmtId="0" fontId="39" fillId="31" borderId="3" xfId="0" applyFont="1" applyFill="1" applyBorder="1" applyAlignment="1">
      <alignment vertical="center" wrapText="1"/>
    </xf>
    <xf numFmtId="0" fontId="3" fillId="3" borderId="1" xfId="0" applyFont="1" applyFill="1" applyBorder="1" applyAlignment="1">
      <alignment horizontal="center" vertical="center" wrapText="1"/>
    </xf>
    <xf numFmtId="0" fontId="0" fillId="0" borderId="0" xfId="0"/>
    <xf numFmtId="0" fontId="0" fillId="0" borderId="1" xfId="0" applyBorder="1"/>
    <xf numFmtId="0" fontId="10" fillId="6" borderId="3" xfId="0" applyFont="1" applyFill="1" applyBorder="1" applyAlignment="1">
      <alignment vertical="center" wrapText="1"/>
    </xf>
    <xf numFmtId="0" fontId="0" fillId="0" borderId="16" xfId="0" applyBorder="1"/>
    <xf numFmtId="0" fontId="0" fillId="0" borderId="13" xfId="0" applyBorder="1"/>
    <xf numFmtId="0" fontId="9" fillId="6" borderId="3" xfId="0" applyFont="1" applyFill="1" applyBorder="1" applyAlignment="1">
      <alignment vertical="center" wrapText="1"/>
    </xf>
    <xf numFmtId="0" fontId="0" fillId="0" borderId="17" xfId="0" applyBorder="1"/>
    <xf numFmtId="0" fontId="8" fillId="0" borderId="2" xfId="0" applyFont="1" applyBorder="1" applyAlignment="1">
      <alignment horizontal="center" vertical="center" textRotation="255"/>
    </xf>
    <xf numFmtId="0" fontId="8" fillId="0" borderId="0" xfId="0" applyFont="1" applyAlignment="1">
      <alignment horizontal="center" vertical="center"/>
    </xf>
    <xf numFmtId="0" fontId="0" fillId="0" borderId="2" xfId="0" applyBorder="1"/>
    <xf numFmtId="0" fontId="10" fillId="10" borderId="3" xfId="0" applyFont="1" applyFill="1" applyBorder="1" applyAlignment="1">
      <alignment vertical="center" wrapText="1"/>
    </xf>
    <xf numFmtId="0" fontId="30" fillId="19" borderId="20" xfId="0" applyFont="1" applyFill="1" applyBorder="1" applyAlignment="1">
      <alignment horizontal="center" vertical="center" wrapText="1"/>
    </xf>
    <xf numFmtId="0" fontId="0" fillId="0" borderId="27" xfId="0" applyBorder="1"/>
    <xf numFmtId="0" fontId="0" fillId="0" borderId="28" xfId="0" applyBorder="1"/>
    <xf numFmtId="0" fontId="10" fillId="7" borderId="3" xfId="0" applyFont="1" applyFill="1" applyBorder="1" applyAlignment="1">
      <alignment wrapText="1"/>
    </xf>
    <xf numFmtId="0" fontId="10" fillId="8" borderId="3" xfId="0" applyFont="1" applyFill="1" applyBorder="1" applyAlignment="1">
      <alignment vertical="center" wrapText="1"/>
    </xf>
    <xf numFmtId="0" fontId="10" fillId="6" borderId="3" xfId="0" applyFont="1" applyFill="1" applyBorder="1" applyAlignment="1">
      <alignment horizontal="center" vertical="center" wrapText="1"/>
    </xf>
    <xf numFmtId="0" fontId="0" fillId="0" borderId="24" xfId="0" applyBorder="1"/>
    <xf numFmtId="0" fontId="30" fillId="8" borderId="20" xfId="0" applyFont="1" applyFill="1" applyBorder="1" applyAlignment="1">
      <alignment horizontal="center" vertical="center" wrapText="1"/>
    </xf>
    <xf numFmtId="0" fontId="0" fillId="0" borderId="25" xfId="0" applyBorder="1"/>
    <xf numFmtId="0" fontId="0" fillId="0" borderId="26" xfId="0" applyBorder="1"/>
    <xf numFmtId="0" fontId="10" fillId="0" borderId="3" xfId="0" applyFont="1" applyBorder="1" applyAlignment="1">
      <alignment vertical="center" wrapText="1"/>
    </xf>
    <xf numFmtId="0" fontId="10" fillId="4" borderId="3" xfId="0" applyFont="1" applyFill="1" applyBorder="1" applyAlignment="1">
      <alignment vertical="center" wrapText="1"/>
    </xf>
    <xf numFmtId="0" fontId="10" fillId="6" borderId="3" xfId="0" applyFont="1" applyFill="1" applyBorder="1" applyAlignment="1">
      <alignment horizontal="center" vertical="center" textRotation="90" wrapText="1"/>
    </xf>
    <xf numFmtId="0" fontId="9" fillId="6" borderId="3" xfId="0" applyFont="1" applyFill="1" applyBorder="1" applyAlignment="1">
      <alignment horizontal="center" vertical="center" wrapText="1"/>
    </xf>
    <xf numFmtId="0" fontId="30" fillId="6" borderId="20" xfId="0" applyFont="1" applyFill="1" applyBorder="1" applyAlignment="1">
      <alignment horizontal="center" vertical="center" wrapText="1"/>
    </xf>
    <xf numFmtId="0" fontId="10" fillId="7" borderId="3" xfId="0" applyFont="1" applyFill="1" applyBorder="1" applyAlignment="1">
      <alignment vertical="center" wrapText="1"/>
    </xf>
    <xf numFmtId="0" fontId="30" fillId="9" borderId="20" xfId="0" applyFont="1" applyFill="1" applyBorder="1" applyAlignment="1">
      <alignment horizontal="center" vertical="center" wrapText="1"/>
    </xf>
    <xf numFmtId="0" fontId="9" fillId="0" borderId="0" xfId="0" applyFont="1" applyAlignment="1">
      <alignment horizontal="left" vertical="center"/>
    </xf>
    <xf numFmtId="0" fontId="38" fillId="0" borderId="0" xfId="0" applyFont="1" applyAlignment="1">
      <alignment horizontal="center" vertical="center" wrapText="1"/>
    </xf>
    <xf numFmtId="0" fontId="9" fillId="0" borderId="0" xfId="0" applyFont="1"/>
    <xf numFmtId="0" fontId="9" fillId="5" borderId="0" xfId="0" applyFont="1" applyFill="1"/>
    <xf numFmtId="0" fontId="9" fillId="4" borderId="0" xfId="0" applyFont="1" applyFill="1"/>
    <xf numFmtId="0" fontId="15" fillId="0" borderId="3" xfId="0" applyFont="1" applyBorder="1" applyAlignment="1">
      <alignment horizontal="center" vertical="center"/>
    </xf>
    <xf numFmtId="0" fontId="16" fillId="0" borderId="3" xfId="0" applyFont="1" applyBorder="1" applyAlignment="1">
      <alignment horizontal="center" vertical="center" wrapText="1"/>
    </xf>
    <xf numFmtId="0" fontId="0" fillId="0" borderId="21" xfId="0" applyBorder="1"/>
    <xf numFmtId="0" fontId="0" fillId="0" borderId="22" xfId="0" applyBorder="1"/>
    <xf numFmtId="0" fontId="0" fillId="0" borderId="23" xfId="0" applyBorder="1"/>
    <xf numFmtId="0" fontId="0" fillId="0" borderId="29" xfId="0" applyBorder="1"/>
    <xf numFmtId="0" fontId="0" fillId="0" borderId="18" xfId="0" applyBorder="1"/>
    <xf numFmtId="0" fontId="0" fillId="0" borderId="19" xfId="0" applyBorder="1"/>
    <xf numFmtId="0" fontId="20" fillId="4" borderId="3" xfId="0" applyFont="1" applyFill="1" applyBorder="1" applyAlignment="1">
      <alignment vertical="center" wrapText="1"/>
    </xf>
    <xf numFmtId="0" fontId="0" fillId="0" borderId="23" xfId="0" applyBorder="1" applyAlignment="1">
      <alignment vertical="top" wrapText="1"/>
    </xf>
    <xf numFmtId="0" fontId="16" fillId="0" borderId="3" xfId="0" applyFont="1" applyBorder="1" applyAlignment="1">
      <alignment horizontal="left" vertical="center" wrapText="1"/>
    </xf>
    <xf numFmtId="0" fontId="16" fillId="0" borderId="3" xfId="0" applyFont="1" applyBorder="1" applyAlignment="1">
      <alignment vertical="top" wrapText="1"/>
    </xf>
    <xf numFmtId="0" fontId="16" fillId="0" borderId="3" xfId="0" applyFont="1" applyBorder="1" applyAlignment="1">
      <alignment horizontal="center" vertical="center"/>
    </xf>
    <xf numFmtId="0" fontId="16" fillId="15" borderId="3" xfId="0" applyFont="1" applyFill="1" applyBorder="1" applyAlignment="1">
      <alignment horizontal="left" vertical="center" wrapText="1"/>
    </xf>
    <xf numFmtId="0" fontId="15" fillId="0" borderId="3" xfId="0" applyFont="1" applyBorder="1" applyAlignment="1">
      <alignment horizontal="center" vertical="center" wrapText="1"/>
    </xf>
    <xf numFmtId="2" fontId="16" fillId="0" borderId="3" xfId="0" applyNumberFormat="1" applyFont="1" applyBorder="1" applyAlignment="1">
      <alignment horizontal="center" vertical="center"/>
    </xf>
    <xf numFmtId="0" fontId="20" fillId="0" borderId="3" xfId="0" applyFont="1" applyBorder="1" applyAlignment="1">
      <alignment horizontal="left" vertical="center" wrapText="1"/>
    </xf>
    <xf numFmtId="0" fontId="20" fillId="25" borderId="3" xfId="0" applyFont="1" applyFill="1" applyBorder="1" applyAlignment="1">
      <alignment vertical="top" wrapText="1"/>
    </xf>
    <xf numFmtId="0" fontId="15" fillId="0" borderId="3" xfId="0" applyFont="1" applyBorder="1" applyAlignment="1">
      <alignment horizontal="left" vertical="center"/>
    </xf>
    <xf numFmtId="0" fontId="20" fillId="21" borderId="3" xfId="0" applyFont="1" applyFill="1" applyBorder="1" applyAlignment="1">
      <alignment horizontal="left" vertical="center"/>
    </xf>
    <xf numFmtId="0" fontId="14" fillId="0" borderId="3" xfId="0" applyFont="1" applyBorder="1" applyAlignment="1">
      <alignment horizontal="center" vertical="center" wrapText="1"/>
    </xf>
    <xf numFmtId="0" fontId="15" fillId="13" borderId="3" xfId="0" applyFont="1" applyFill="1" applyBorder="1" applyAlignment="1">
      <alignment horizontal="center" vertical="center"/>
    </xf>
    <xf numFmtId="0" fontId="16" fillId="21" borderId="3" xfId="0" applyFont="1" applyFill="1" applyBorder="1" applyAlignment="1">
      <alignment horizontal="center" vertical="center" wrapText="1"/>
    </xf>
    <xf numFmtId="0" fontId="15" fillId="0" borderId="3" xfId="0" applyFont="1" applyBorder="1" applyAlignment="1">
      <alignment horizontal="left" vertical="center" wrapText="1"/>
    </xf>
    <xf numFmtId="0" fontId="15" fillId="13" borderId="3" xfId="0" applyFont="1" applyFill="1" applyBorder="1" applyAlignment="1">
      <alignment horizontal="center" vertical="center" wrapText="1"/>
    </xf>
    <xf numFmtId="0" fontId="23" fillId="0" borderId="3" xfId="0" applyFont="1" applyBorder="1" applyAlignment="1">
      <alignment horizontal="left" vertical="center"/>
    </xf>
    <xf numFmtId="0" fontId="20" fillId="21" borderId="3" xfId="0" applyFont="1" applyFill="1" applyBorder="1" applyAlignment="1">
      <alignment vertical="top" wrapText="1"/>
    </xf>
    <xf numFmtId="0" fontId="20" fillId="0" borderId="3" xfId="0" applyFont="1" applyBorder="1" applyAlignment="1">
      <alignment horizontal="left" vertical="center"/>
    </xf>
    <xf numFmtId="0" fontId="20" fillId="4" borderId="3" xfId="0" applyFont="1" applyFill="1" applyBorder="1" applyAlignment="1">
      <alignment horizontal="left" vertical="center" wrapText="1"/>
    </xf>
    <xf numFmtId="3" fontId="16" fillId="0" borderId="3" xfId="0" applyNumberFormat="1" applyFont="1" applyBorder="1" applyAlignment="1">
      <alignment horizontal="center" vertical="center"/>
    </xf>
    <xf numFmtId="0" fontId="16" fillId="25" borderId="3" xfId="0" applyFont="1" applyFill="1" applyBorder="1" applyAlignment="1">
      <alignment vertical="top" wrapText="1"/>
    </xf>
    <xf numFmtId="0" fontId="16" fillId="21" borderId="3" xfId="0" applyFont="1" applyFill="1" applyBorder="1" applyAlignment="1">
      <alignment horizontal="left" vertical="center" wrapText="1"/>
    </xf>
    <xf numFmtId="0" fontId="14" fillId="0" borderId="0" xfId="0" applyFont="1" applyAlignment="1">
      <alignment horizontal="center" vertical="center" wrapText="1"/>
    </xf>
    <xf numFmtId="0" fontId="16" fillId="21" borderId="3" xfId="0" applyFont="1" applyFill="1" applyBorder="1" applyAlignment="1">
      <alignment vertical="top" wrapText="1"/>
    </xf>
    <xf numFmtId="0" fontId="16" fillId="25" borderId="15" xfId="0" applyFont="1" applyFill="1" applyBorder="1" applyAlignment="1">
      <alignment vertical="top" wrapText="1"/>
    </xf>
    <xf numFmtId="0" fontId="16" fillId="25" borderId="16" xfId="0" applyFont="1" applyFill="1" applyBorder="1" applyAlignment="1">
      <alignment vertical="top" wrapText="1"/>
    </xf>
    <xf numFmtId="0" fontId="16" fillId="25" borderId="13" xfId="0" applyFont="1" applyFill="1" applyBorder="1" applyAlignment="1">
      <alignment vertical="top" wrapText="1"/>
    </xf>
    <xf numFmtId="0" fontId="33" fillId="0" borderId="3" xfId="2" applyFont="1" applyBorder="1" applyAlignment="1">
      <alignment horizontal="center" vertical="center"/>
    </xf>
    <xf numFmtId="0" fontId="34" fillId="0" borderId="3" xfId="2" applyFont="1" applyBorder="1" applyAlignment="1">
      <alignment horizontal="center" vertical="center" wrapText="1"/>
    </xf>
    <xf numFmtId="0" fontId="34" fillId="0" borderId="3" xfId="2" quotePrefix="1" applyFont="1" applyBorder="1" applyAlignment="1">
      <alignment horizontal="left" vertical="center" wrapText="1"/>
    </xf>
    <xf numFmtId="0" fontId="1" fillId="0" borderId="0" xfId="2"/>
    <xf numFmtId="0" fontId="33" fillId="0" borderId="3" xfId="2" applyFont="1" applyBorder="1" applyAlignment="1">
      <alignment horizontal="left" vertical="center"/>
    </xf>
    <xf numFmtId="0" fontId="36" fillId="0" borderId="3" xfId="2" applyFont="1" applyBorder="1" applyAlignment="1">
      <alignment horizontal="left" vertical="center" wrapText="1"/>
    </xf>
    <xf numFmtId="0" fontId="34" fillId="0" borderId="3" xfId="2" applyFont="1" applyBorder="1" applyAlignment="1">
      <alignment horizontal="left" vertical="center" wrapText="1"/>
    </xf>
    <xf numFmtId="0" fontId="34" fillId="0" borderId="3" xfId="2" applyFont="1" applyBorder="1" applyAlignment="1">
      <alignment horizontal="center" vertical="center"/>
    </xf>
    <xf numFmtId="0" fontId="34" fillId="24" borderId="3" xfId="2" applyFont="1" applyFill="1" applyBorder="1" applyAlignment="1">
      <alignment horizontal="left" vertical="center" wrapText="1"/>
    </xf>
    <xf numFmtId="0" fontId="33" fillId="22" borderId="3" xfId="2" applyFont="1" applyFill="1" applyBorder="1" applyAlignment="1">
      <alignment horizontal="center" vertical="center"/>
    </xf>
    <xf numFmtId="0" fontId="33" fillId="0" borderId="3" xfId="2" applyFont="1" applyBorder="1" applyAlignment="1">
      <alignment horizontal="center" vertical="center" wrapText="1"/>
    </xf>
    <xf numFmtId="0" fontId="33" fillId="22" borderId="3" xfId="2" applyFont="1" applyFill="1" applyBorder="1" applyAlignment="1">
      <alignment horizontal="center" vertical="center" wrapText="1"/>
    </xf>
    <xf numFmtId="3" fontId="34" fillId="0" borderId="3" xfId="2" applyNumberFormat="1" applyFont="1" applyBorder="1" applyAlignment="1">
      <alignment horizontal="center" vertical="center"/>
    </xf>
    <xf numFmtId="0" fontId="32" fillId="0" borderId="0" xfId="2" applyFont="1" applyAlignment="1">
      <alignment horizontal="center" vertical="center" wrapText="1"/>
    </xf>
    <xf numFmtId="0" fontId="33" fillId="0" borderId="3" xfId="2" applyFont="1" applyBorder="1" applyAlignment="1">
      <alignment horizontal="left" vertical="center" wrapText="1"/>
    </xf>
    <xf numFmtId="0" fontId="16" fillId="0" borderId="8" xfId="0" applyFont="1" applyBorder="1" applyAlignment="1">
      <alignment horizontal="left" vertical="center" wrapText="1"/>
    </xf>
    <xf numFmtId="0" fontId="0" fillId="0" borderId="30" xfId="0" applyBorder="1"/>
    <xf numFmtId="0" fontId="16" fillId="15" borderId="11" xfId="0" applyFont="1" applyFill="1" applyBorder="1" applyAlignment="1">
      <alignment horizontal="left" vertical="center" wrapText="1"/>
    </xf>
    <xf numFmtId="0" fontId="0" fillId="0" borderId="31" xfId="0" applyBorder="1"/>
    <xf numFmtId="0" fontId="15" fillId="0" borderId="7" xfId="0" applyFont="1" applyBorder="1" applyAlignment="1">
      <alignment horizontal="left" vertical="center"/>
    </xf>
    <xf numFmtId="0" fontId="15" fillId="13" borderId="6" xfId="0" applyFont="1" applyFill="1" applyBorder="1" applyAlignment="1">
      <alignment horizontal="center" vertical="center"/>
    </xf>
    <xf numFmtId="0" fontId="0" fillId="0" borderId="32" xfId="0" applyBorder="1"/>
    <xf numFmtId="0" fontId="0" fillId="0" borderId="5" xfId="0" applyBorder="1"/>
    <xf numFmtId="0" fontId="15" fillId="0" borderId="10" xfId="0" applyFont="1" applyBorder="1" applyAlignment="1">
      <alignment horizontal="center" vertical="center"/>
    </xf>
    <xf numFmtId="0" fontId="15" fillId="0" borderId="9" xfId="0" applyFont="1" applyBorder="1" applyAlignment="1">
      <alignment horizontal="left" vertical="center" wrapText="1"/>
    </xf>
    <xf numFmtId="0" fontId="15" fillId="13" borderId="6" xfId="0" applyFont="1" applyFill="1" applyBorder="1" applyAlignment="1">
      <alignment horizontal="center" vertical="center" wrapText="1"/>
    </xf>
    <xf numFmtId="0" fontId="26" fillId="0" borderId="3" xfId="0" applyFont="1" applyBorder="1" applyAlignment="1">
      <alignment horizontal="left"/>
    </xf>
    <xf numFmtId="0" fontId="0" fillId="0" borderId="3" xfId="0" applyBorder="1" applyAlignment="1">
      <alignment horizontal="left"/>
    </xf>
    <xf numFmtId="0" fontId="26" fillId="0" borderId="3" xfId="0" applyFont="1" applyBorder="1" applyAlignment="1">
      <alignment horizontal="left" wrapText="1"/>
    </xf>
    <xf numFmtId="0" fontId="15" fillId="15" borderId="3" xfId="0" applyFont="1" applyFill="1" applyBorder="1" applyAlignment="1">
      <alignment horizontal="left" vertical="center" wrapText="1"/>
    </xf>
    <xf numFmtId="0" fontId="20" fillId="4" borderId="12" xfId="0" applyFont="1" applyFill="1" applyBorder="1" applyAlignment="1">
      <alignment vertical="top" wrapText="1"/>
    </xf>
    <xf numFmtId="0" fontId="0" fillId="0" borderId="7" xfId="0" applyBorder="1"/>
    <xf numFmtId="0" fontId="0" fillId="0" borderId="33" xfId="0" applyBorder="1"/>
    <xf numFmtId="3" fontId="16" fillId="0" borderId="14" xfId="0" applyNumberFormat="1" applyFont="1" applyBorder="1" applyAlignment="1">
      <alignment horizontal="center" vertical="center"/>
    </xf>
    <xf numFmtId="0" fontId="0" fillId="0" borderId="34" xfId="0" applyBorder="1"/>
    <xf numFmtId="0" fontId="20" fillId="4" borderId="3" xfId="0" applyFont="1" applyFill="1" applyBorder="1" applyAlignment="1">
      <alignment vertical="top" wrapText="1"/>
    </xf>
    <xf numFmtId="0" fontId="20" fillId="21" borderId="3" xfId="0" applyFont="1" applyFill="1" applyBorder="1" applyAlignment="1">
      <alignment horizontal="center" vertical="center" wrapText="1"/>
    </xf>
    <xf numFmtId="0" fontId="20" fillId="21" borderId="3" xfId="0" applyFont="1" applyFill="1" applyBorder="1" applyAlignment="1">
      <alignment horizontal="left" vertical="center" wrapText="1"/>
    </xf>
    <xf numFmtId="0" fontId="39" fillId="31" borderId="3" xfId="0" applyFont="1" applyFill="1" applyBorder="1" applyAlignment="1">
      <alignment horizontal="left" vertical="center" wrapText="1"/>
    </xf>
    <xf numFmtId="0" fontId="41" fillId="31" borderId="16" xfId="0" applyFont="1" applyFill="1" applyBorder="1"/>
    <xf numFmtId="0" fontId="41" fillId="31" borderId="13" xfId="0" applyFont="1" applyFill="1" applyBorder="1"/>
    <xf numFmtId="0" fontId="40" fillId="0" borderId="3" xfId="0" applyFont="1" applyBorder="1" applyAlignment="1">
      <alignment horizontal="left" vertical="center"/>
    </xf>
    <xf numFmtId="0" fontId="41" fillId="0" borderId="16" xfId="0" applyFont="1" applyBorder="1"/>
    <xf numFmtId="0" fontId="41" fillId="0" borderId="13" xfId="0" applyFont="1" applyBorder="1"/>
    <xf numFmtId="0" fontId="39" fillId="31" borderId="3" xfId="0" applyFont="1" applyFill="1" applyBorder="1" applyAlignment="1">
      <alignment horizontal="left" vertical="center"/>
    </xf>
    <xf numFmtId="0" fontId="40" fillId="0" borderId="3" xfId="0" applyFont="1" applyBorder="1" applyAlignment="1">
      <alignment horizontal="center" vertical="center"/>
    </xf>
    <xf numFmtId="0" fontId="41" fillId="0" borderId="3" xfId="0" applyFont="1" applyBorder="1" applyAlignment="1">
      <alignment horizontal="center" vertical="center" wrapText="1"/>
    </xf>
    <xf numFmtId="0" fontId="41" fillId="0" borderId="24" xfId="0" applyFont="1" applyBorder="1"/>
    <xf numFmtId="0" fontId="41" fillId="0" borderId="17" xfId="0" applyFont="1" applyBorder="1"/>
    <xf numFmtId="0" fontId="41" fillId="0" borderId="3" xfId="0" applyFont="1" applyBorder="1" applyAlignment="1">
      <alignment horizontal="left" vertical="center" wrapText="1"/>
    </xf>
    <xf numFmtId="0" fontId="41" fillId="0" borderId="21" xfId="0" applyFont="1" applyBorder="1"/>
    <xf numFmtId="0" fontId="41" fillId="0" borderId="22" xfId="0" applyFont="1" applyBorder="1"/>
    <xf numFmtId="0" fontId="41" fillId="0" borderId="23" xfId="0" applyFont="1" applyBorder="1"/>
    <xf numFmtId="0" fontId="41" fillId="0" borderId="0" xfId="0" applyFont="1"/>
    <xf numFmtId="0" fontId="41" fillId="0" borderId="29" xfId="0" applyFont="1" applyBorder="1"/>
    <xf numFmtId="0" fontId="41" fillId="0" borderId="18" xfId="0" applyFont="1" applyBorder="1"/>
    <xf numFmtId="0" fontId="41" fillId="0" borderId="2" xfId="0" applyFont="1" applyBorder="1"/>
    <xf numFmtId="0" fontId="41" fillId="0" borderId="19" xfId="0" applyFont="1" applyBorder="1"/>
    <xf numFmtId="0" fontId="41" fillId="0" borderId="3" xfId="0" applyFont="1" applyBorder="1" applyAlignment="1">
      <alignment horizontal="center" vertical="center"/>
    </xf>
    <xf numFmtId="0" fontId="39" fillId="3" borderId="3" xfId="0" applyFont="1" applyFill="1" applyBorder="1" applyAlignment="1">
      <alignment vertical="top" wrapText="1"/>
    </xf>
    <xf numFmtId="3" fontId="41" fillId="0" borderId="3" xfId="0" applyNumberFormat="1" applyFont="1" applyBorder="1" applyAlignment="1">
      <alignment horizontal="center" vertical="center"/>
    </xf>
    <xf numFmtId="0" fontId="40" fillId="0" borderId="3" xfId="0" applyFont="1" applyBorder="1" applyAlignment="1">
      <alignment horizontal="center" vertical="center" wrapText="1"/>
    </xf>
    <xf numFmtId="0" fontId="41" fillId="21" borderId="3" xfId="0" applyFont="1" applyFill="1" applyBorder="1" applyAlignment="1">
      <alignment horizontal="left" vertical="center" wrapText="1"/>
    </xf>
    <xf numFmtId="0" fontId="40" fillId="13" borderId="3" xfId="0" applyFont="1" applyFill="1" applyBorder="1" applyAlignment="1">
      <alignment horizontal="center" vertical="center"/>
    </xf>
    <xf numFmtId="0" fontId="41" fillId="21" borderId="3" xfId="0" applyFont="1" applyFill="1" applyBorder="1" applyAlignment="1">
      <alignment horizontal="center" vertical="center" wrapText="1"/>
    </xf>
    <xf numFmtId="0" fontId="39" fillId="21" borderId="3" xfId="0" applyFont="1" applyFill="1" applyBorder="1" applyAlignment="1">
      <alignment horizontal="left" vertical="center"/>
    </xf>
    <xf numFmtId="0" fontId="41" fillId="15" borderId="3" xfId="0" applyFont="1" applyFill="1" applyBorder="1" applyAlignment="1">
      <alignment horizontal="left" vertical="center" wrapText="1"/>
    </xf>
    <xf numFmtId="0" fontId="40" fillId="13" borderId="3" xfId="0" applyFont="1" applyFill="1" applyBorder="1" applyAlignment="1">
      <alignment horizontal="center" vertical="center" wrapText="1"/>
    </xf>
    <xf numFmtId="0" fontId="40" fillId="0" borderId="0" xfId="0" applyFont="1" applyAlignment="1">
      <alignment horizontal="center" vertical="center" wrapText="1"/>
    </xf>
    <xf numFmtId="0" fontId="40" fillId="0" borderId="3" xfId="0" applyFont="1" applyBorder="1" applyAlignment="1">
      <alignment horizontal="left" vertical="center" wrapText="1"/>
    </xf>
    <xf numFmtId="0" fontId="39" fillId="0" borderId="3" xfId="0" applyFont="1" applyBorder="1" applyAlignment="1">
      <alignment horizontal="left" vertical="center"/>
    </xf>
    <xf numFmtId="0" fontId="39" fillId="0" borderId="3" xfId="0" applyFont="1" applyBorder="1" applyAlignment="1">
      <alignment horizontal="left" vertical="center" wrapText="1"/>
    </xf>
    <xf numFmtId="0" fontId="44" fillId="0" borderId="0" xfId="0" applyFont="1" applyAlignment="1">
      <alignment horizontal="center" vertical="center" wrapText="1"/>
    </xf>
    <xf numFmtId="0" fontId="41" fillId="18" borderId="3" xfId="0" applyFont="1" applyFill="1" applyBorder="1" applyAlignment="1">
      <alignment vertical="top" wrapText="1"/>
    </xf>
    <xf numFmtId="0" fontId="41" fillId="0" borderId="3" xfId="0" applyFont="1" applyBorder="1"/>
    <xf numFmtId="0" fontId="43" fillId="18" borderId="3" xfId="0" applyFont="1" applyFill="1" applyBorder="1" applyAlignment="1">
      <alignment vertical="center" wrapText="1"/>
    </xf>
    <xf numFmtId="0" fontId="41" fillId="3" borderId="3" xfId="0" applyFont="1" applyFill="1" applyBorder="1" applyAlignment="1">
      <alignment horizontal="center" vertical="center"/>
    </xf>
    <xf numFmtId="0" fontId="41" fillId="18" borderId="3" xfId="0" applyFont="1" applyFill="1" applyBorder="1" applyAlignment="1">
      <alignment horizontal="left" vertical="center" wrapText="1"/>
    </xf>
    <xf numFmtId="0" fontId="45" fillId="27" borderId="3" xfId="0" applyFont="1" applyFill="1" applyBorder="1" applyAlignment="1">
      <alignment horizontal="left" vertical="center" wrapText="1"/>
    </xf>
    <xf numFmtId="0" fontId="39" fillId="18" borderId="3" xfId="0" applyFont="1" applyFill="1" applyBorder="1" applyAlignment="1">
      <alignment horizontal="left" vertical="center" wrapText="1"/>
    </xf>
    <xf numFmtId="0" fontId="45" fillId="28" borderId="3" xfId="0" applyFont="1" applyFill="1" applyBorder="1" applyAlignment="1">
      <alignment horizontal="left" vertical="center" wrapText="1"/>
    </xf>
    <xf numFmtId="0" fontId="41" fillId="18" borderId="3" xfId="0" applyFont="1" applyFill="1" applyBorder="1" applyAlignment="1">
      <alignment horizontal="left" vertical="center"/>
    </xf>
    <xf numFmtId="0" fontId="39" fillId="4" borderId="3" xfId="0" applyFont="1" applyFill="1" applyBorder="1" applyAlignment="1">
      <alignment vertical="top" wrapText="1"/>
    </xf>
    <xf numFmtId="3" fontId="41" fillId="3" borderId="3" xfId="0" applyNumberFormat="1" applyFont="1" applyFill="1" applyBorder="1" applyAlignment="1">
      <alignment horizontal="center" vertical="center"/>
    </xf>
    <xf numFmtId="0" fontId="41" fillId="0" borderId="3" xfId="0" applyFont="1" applyBorder="1" applyAlignment="1">
      <alignment vertical="top" wrapText="1"/>
    </xf>
    <xf numFmtId="0" fontId="41" fillId="3" borderId="3" xfId="0" applyFont="1" applyFill="1" applyBorder="1" applyAlignment="1">
      <alignment vertical="top" wrapText="1"/>
    </xf>
    <xf numFmtId="0" fontId="41" fillId="3" borderId="3" xfId="0" applyFont="1" applyFill="1" applyBorder="1" applyAlignment="1">
      <alignment horizontal="left" vertical="center"/>
    </xf>
    <xf numFmtId="0" fontId="41" fillId="3" borderId="3" xfId="0" applyFont="1" applyFill="1" applyBorder="1" applyAlignment="1">
      <alignment horizontal="left" vertical="center" wrapText="1"/>
    </xf>
    <xf numFmtId="0" fontId="41" fillId="25" borderId="3" xfId="0" applyFont="1" applyFill="1" applyBorder="1" applyAlignment="1">
      <alignment vertical="top" wrapText="1"/>
    </xf>
    <xf numFmtId="0" fontId="39" fillId="18" borderId="3" xfId="0" applyFont="1" applyFill="1" applyBorder="1" applyAlignment="1">
      <alignment vertical="center" wrapText="1"/>
    </xf>
    <xf numFmtId="0" fontId="41" fillId="17" borderId="3" xfId="0" applyFont="1" applyFill="1" applyBorder="1" applyAlignment="1">
      <alignment horizontal="left" vertical="center" wrapText="1"/>
    </xf>
    <xf numFmtId="0" fontId="16" fillId="4" borderId="3" xfId="0" applyFont="1" applyFill="1" applyBorder="1" applyAlignment="1">
      <alignment horizontal="center" vertical="center" wrapText="1"/>
    </xf>
    <xf numFmtId="0" fontId="16" fillId="4" borderId="3" xfId="0" applyFont="1" applyFill="1" applyBorder="1" applyAlignment="1">
      <alignment horizontal="center" vertical="center"/>
    </xf>
    <xf numFmtId="0" fontId="14" fillId="0" borderId="0" xfId="0" applyFont="1" applyAlignment="1">
      <alignment horizontal="center" vertical="center"/>
    </xf>
    <xf numFmtId="0" fontId="21" fillId="18" borderId="3" xfId="0" applyFont="1" applyFill="1" applyBorder="1" applyAlignment="1">
      <alignment horizontal="left" vertical="center"/>
    </xf>
    <xf numFmtId="0" fontId="16" fillId="3" borderId="3" xfId="0" applyFont="1" applyFill="1" applyBorder="1" applyAlignment="1">
      <alignment horizontal="center" vertical="center"/>
    </xf>
    <xf numFmtId="0" fontId="16" fillId="18" borderId="3" xfId="0" applyFont="1" applyFill="1" applyBorder="1" applyAlignment="1">
      <alignment horizontal="left" vertical="center" wrapText="1"/>
    </xf>
    <xf numFmtId="0" fontId="16" fillId="3" borderId="3" xfId="0" applyFont="1" applyFill="1" applyBorder="1" applyAlignment="1">
      <alignment horizontal="center" vertical="center" wrapText="1"/>
    </xf>
    <xf numFmtId="0" fontId="16" fillId="3" borderId="3" xfId="0" applyFont="1" applyFill="1" applyBorder="1" applyAlignment="1">
      <alignment horizontal="left" vertical="center" wrapText="1"/>
    </xf>
    <xf numFmtId="0" fontId="16" fillId="21" borderId="3" xfId="0" applyFont="1" applyFill="1" applyBorder="1" applyAlignment="1">
      <alignment horizontal="left" vertical="center"/>
    </xf>
    <xf numFmtId="0" fontId="27" fillId="21" borderId="3" xfId="0" applyFont="1" applyFill="1" applyBorder="1" applyAlignment="1">
      <alignment horizontal="left" vertical="center"/>
    </xf>
    <xf numFmtId="0" fontId="21" fillId="18" borderId="3" xfId="0" applyFont="1" applyFill="1" applyBorder="1" applyAlignment="1">
      <alignment horizontal="left" vertical="center" wrapText="1"/>
    </xf>
    <xf numFmtId="0" fontId="16" fillId="3" borderId="3" xfId="0" applyFont="1" applyFill="1" applyBorder="1" applyAlignment="1">
      <alignment horizontal="left" vertical="center"/>
    </xf>
    <xf numFmtId="0" fontId="16" fillId="18" borderId="3" xfId="0" applyFont="1" applyFill="1" applyBorder="1" applyAlignment="1">
      <alignment horizontal="left" vertical="center"/>
    </xf>
    <xf numFmtId="0" fontId="20" fillId="18" borderId="3" xfId="0" applyFont="1" applyFill="1" applyBorder="1" applyAlignment="1">
      <alignment horizontal="left" vertical="center" wrapText="1"/>
    </xf>
    <xf numFmtId="0" fontId="16" fillId="17" borderId="3" xfId="0" applyFont="1" applyFill="1" applyBorder="1" applyAlignment="1">
      <alignment horizontal="left" vertical="center" wrapText="1"/>
    </xf>
    <xf numFmtId="0" fontId="27" fillId="18" borderId="3" xfId="0" applyFont="1" applyFill="1" applyBorder="1" applyAlignment="1">
      <alignment horizontal="left" vertical="center" wrapText="1"/>
    </xf>
    <xf numFmtId="0" fontId="20" fillId="18" borderId="3" xfId="0" applyFont="1" applyFill="1" applyBorder="1" applyAlignment="1">
      <alignment horizontal="left" vertical="center"/>
    </xf>
    <xf numFmtId="0" fontId="22" fillId="0" borderId="3" xfId="0" applyFont="1" applyBorder="1" applyAlignment="1">
      <alignment horizontal="center" vertical="center" wrapText="1"/>
    </xf>
    <xf numFmtId="0" fontId="43" fillId="18" borderId="3" xfId="0" applyFont="1" applyFill="1" applyBorder="1" applyAlignment="1">
      <alignment horizontal="left" vertical="center"/>
    </xf>
    <xf numFmtId="0" fontId="42" fillId="0" borderId="3" xfId="0" applyFont="1" applyBorder="1" applyAlignment="1">
      <alignment horizontal="center" vertical="center" wrapText="1"/>
    </xf>
    <xf numFmtId="0" fontId="41" fillId="3" borderId="3" xfId="0" applyFont="1" applyFill="1" applyBorder="1" applyAlignment="1">
      <alignment horizontal="center" vertical="center" wrapText="1"/>
    </xf>
    <xf numFmtId="0" fontId="41" fillId="21" borderId="3" xfId="0" applyFont="1" applyFill="1" applyBorder="1" applyAlignment="1">
      <alignment horizontal="left" vertical="center"/>
    </xf>
    <xf numFmtId="0" fontId="39" fillId="4" borderId="3" xfId="0" applyFont="1" applyFill="1" applyBorder="1" applyAlignment="1">
      <alignment horizontal="left" vertical="center" wrapText="1"/>
    </xf>
    <xf numFmtId="0" fontId="43" fillId="18" borderId="3" xfId="0" applyFont="1" applyFill="1" applyBorder="1" applyAlignment="1">
      <alignment horizontal="left" vertical="center" wrapText="1"/>
    </xf>
    <xf numFmtId="0" fontId="42" fillId="18" borderId="3" xfId="0" applyFont="1" applyFill="1" applyBorder="1" applyAlignment="1">
      <alignment horizontal="left" vertical="center" wrapText="1"/>
    </xf>
    <xf numFmtId="0" fontId="40" fillId="0" borderId="0" xfId="0" applyFont="1" applyAlignment="1">
      <alignment horizontal="center" vertical="center"/>
    </xf>
    <xf numFmtId="0" fontId="42" fillId="18" borderId="3" xfId="0" applyFont="1" applyFill="1" applyBorder="1" applyAlignment="1">
      <alignment horizontal="left" vertical="center"/>
    </xf>
    <xf numFmtId="0" fontId="16" fillId="4" borderId="3" xfId="0" applyFont="1" applyFill="1" applyBorder="1" applyAlignment="1">
      <alignment horizontal="left" vertical="center" wrapText="1"/>
    </xf>
    <xf numFmtId="3" fontId="16" fillId="3" borderId="3" xfId="0" applyNumberFormat="1" applyFont="1" applyFill="1" applyBorder="1" applyAlignment="1">
      <alignment horizontal="center" vertical="center"/>
    </xf>
    <xf numFmtId="0" fontId="16" fillId="4" borderId="3" xfId="0" applyFont="1" applyFill="1" applyBorder="1" applyAlignment="1">
      <alignment horizontal="left" vertical="center"/>
    </xf>
    <xf numFmtId="0" fontId="15" fillId="4" borderId="3" xfId="0" applyFont="1" applyFill="1" applyBorder="1" applyAlignment="1">
      <alignment horizontal="left" vertical="center"/>
    </xf>
    <xf numFmtId="0" fontId="0" fillId="21" borderId="3" xfId="0" applyFill="1" applyBorder="1" applyAlignment="1">
      <alignment horizontal="left" vertical="top" wrapText="1"/>
    </xf>
    <xf numFmtId="0" fontId="0" fillId="21" borderId="3" xfId="0" applyFill="1" applyBorder="1" applyAlignment="1">
      <alignment horizontal="left"/>
    </xf>
    <xf numFmtId="0" fontId="20" fillId="32" borderId="3" xfId="0" applyFont="1" applyFill="1" applyBorder="1" applyAlignment="1">
      <alignment horizontal="left" vertical="center"/>
    </xf>
    <xf numFmtId="0" fontId="28" fillId="18" borderId="3" xfId="0" applyFont="1" applyFill="1" applyBorder="1" applyAlignment="1">
      <alignment horizontal="left" vertical="center" wrapText="1"/>
    </xf>
    <xf numFmtId="0" fontId="28" fillId="3" borderId="3" xfId="0" applyFont="1" applyFill="1" applyBorder="1" applyAlignment="1">
      <alignment horizontal="center" vertical="center"/>
    </xf>
    <xf numFmtId="0" fontId="28" fillId="21" borderId="3" xfId="0" applyFont="1" applyFill="1" applyBorder="1" applyAlignment="1">
      <alignment horizontal="left" vertical="center"/>
    </xf>
    <xf numFmtId="0" fontId="28" fillId="21" borderId="3" xfId="0" applyFont="1" applyFill="1" applyBorder="1" applyAlignment="1">
      <alignment horizontal="left" vertical="center" wrapText="1"/>
    </xf>
    <xf numFmtId="0" fontId="28" fillId="18" borderId="3" xfId="0" applyFont="1" applyFill="1" applyBorder="1" applyAlignment="1">
      <alignment horizontal="left" vertical="center"/>
    </xf>
    <xf numFmtId="0" fontId="16" fillId="17" borderId="3" xfId="0" applyFont="1" applyFill="1" applyBorder="1" applyAlignment="1">
      <alignment vertical="center"/>
    </xf>
    <xf numFmtId="0" fontId="16" fillId="17" borderId="3" xfId="0" applyFont="1" applyFill="1" applyBorder="1" applyAlignment="1">
      <alignment vertical="center" wrapText="1"/>
    </xf>
    <xf numFmtId="0" fontId="39" fillId="30" borderId="3" xfId="0" applyFont="1" applyFill="1" applyBorder="1" applyAlignment="1">
      <alignment horizontal="left" vertical="top" wrapText="1"/>
    </xf>
    <xf numFmtId="0" fontId="39" fillId="30" borderId="3" xfId="0" applyFont="1" applyFill="1" applyBorder="1" applyAlignment="1">
      <alignment horizontal="left"/>
    </xf>
    <xf numFmtId="0" fontId="36" fillId="29" borderId="3" xfId="0" applyFont="1" applyFill="1" applyBorder="1" applyAlignment="1">
      <alignment horizontal="left" vertical="center"/>
    </xf>
    <xf numFmtId="0" fontId="0" fillId="31" borderId="15" xfId="0" applyFill="1" applyBorder="1" applyAlignment="1">
      <alignment horizontal="left"/>
    </xf>
    <xf numFmtId="0" fontId="0" fillId="31" borderId="16" xfId="0" applyFill="1" applyBorder="1" applyAlignment="1">
      <alignment horizontal="left"/>
    </xf>
    <xf numFmtId="0" fontId="0" fillId="31" borderId="13" xfId="0" applyFill="1" applyBorder="1" applyAlignment="1">
      <alignment horizontal="left"/>
    </xf>
    <xf numFmtId="0" fontId="21" fillId="18" borderId="10" xfId="0" applyFont="1" applyFill="1" applyBorder="1" applyAlignment="1">
      <alignment horizontal="left" vertical="center" wrapText="1"/>
    </xf>
    <xf numFmtId="0" fontId="21" fillId="18" borderId="22" xfId="0" applyFont="1" applyFill="1" applyBorder="1" applyAlignment="1">
      <alignment horizontal="left" vertical="center" wrapText="1"/>
    </xf>
    <xf numFmtId="0" fontId="45" fillId="3" borderId="3" xfId="0" applyFont="1" applyFill="1" applyBorder="1" applyAlignment="1">
      <alignment horizontal="center" vertical="center"/>
    </xf>
    <xf numFmtId="0" fontId="45" fillId="21" borderId="3" xfId="0" applyFont="1" applyFill="1" applyBorder="1" applyAlignment="1">
      <alignment vertical="center" wrapText="1"/>
    </xf>
    <xf numFmtId="0" fontId="41" fillId="0" borderId="16" xfId="0" applyFont="1" applyBorder="1" applyAlignment="1">
      <alignment wrapText="1"/>
    </xf>
    <xf numFmtId="0" fontId="41" fillId="0" borderId="13" xfId="0" applyFont="1" applyBorder="1" applyAlignment="1">
      <alignment wrapText="1"/>
    </xf>
    <xf numFmtId="0" fontId="45" fillId="18" borderId="3" xfId="0" applyFont="1" applyFill="1" applyBorder="1" applyAlignment="1">
      <alignment vertical="center" wrapText="1"/>
    </xf>
    <xf numFmtId="0" fontId="48" fillId="18" borderId="3" xfId="0" applyFont="1" applyFill="1" applyBorder="1" applyAlignment="1">
      <alignment horizontal="left" vertical="center" wrapText="1"/>
    </xf>
    <xf numFmtId="0" fontId="45" fillId="18" borderId="3" xfId="0" applyFont="1" applyFill="1" applyBorder="1" applyAlignment="1">
      <alignment horizontal="left" vertical="center" wrapText="1"/>
    </xf>
    <xf numFmtId="0" fontId="48" fillId="18" borderId="3" xfId="0" applyFont="1" applyFill="1" applyBorder="1" applyAlignment="1">
      <alignment horizontal="left" vertical="center"/>
    </xf>
    <xf numFmtId="0" fontId="44" fillId="0" borderId="0" xfId="0" applyFont="1" applyAlignment="1">
      <alignment horizontal="center" vertical="center"/>
    </xf>
    <xf numFmtId="0" fontId="41" fillId="17" borderId="3" xfId="0" applyFont="1" applyFill="1" applyBorder="1" applyAlignment="1">
      <alignment vertical="center" wrapText="1"/>
    </xf>
    <xf numFmtId="0" fontId="28" fillId="3" borderId="15" xfId="0" applyFont="1" applyFill="1" applyBorder="1" applyAlignment="1">
      <alignment horizontal="center" vertical="center"/>
    </xf>
  </cellXfs>
  <cellStyles count="3">
    <cellStyle name="Normal" xfId="0" builtinId="0"/>
    <cellStyle name="Normal 2" xfId="2"/>
    <cellStyle name="Pourcentage"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EE0000"/>
      <rgbColor rgb="FF008000"/>
      <rgbColor rgb="FF000080"/>
      <rgbColor rgb="FF808000"/>
      <rgbColor rgb="FF800080"/>
      <rgbColor rgb="FF008080"/>
      <rgbColor rgb="FFBFBFBF"/>
      <rgbColor rgb="FF808080"/>
      <rgbColor rgb="FFD9D9D9"/>
      <rgbColor rgb="FF993366"/>
      <rgbColor rgb="FFF7F7F7"/>
      <rgbColor rgb="FFDCE6F2"/>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F2F2F2"/>
      <rgbColor rgb="FFEBF0DE"/>
      <rgbColor rgb="FFD7E3BB"/>
      <rgbColor rgb="FF93CDDD"/>
      <rgbColor rgb="FFFCD5B5"/>
      <rgbColor rgb="FFC5D9F0"/>
      <rgbColor rgb="FFFAC090"/>
      <rgbColor rgb="FF3366FF"/>
      <rgbColor rgb="FF33CCCC"/>
      <rgbColor rgb="FF99CC00"/>
      <rgbColor rgb="FFFFC000"/>
      <rgbColor rgb="FFFF9900"/>
      <rgbColor rgb="FFFF6600"/>
      <rgbColor rgb="FF666699"/>
      <rgbColor rgb="FFE3DFEB"/>
      <rgbColor rgb="FF003366"/>
      <rgbColor rgb="FF00B050"/>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680040</xdr:colOff>
      <xdr:row>1</xdr:row>
      <xdr:rowOff>72720</xdr:rowOff>
    </xdr:from>
    <xdr:to>
      <xdr:col>12</xdr:col>
      <xdr:colOff>454680</xdr:colOff>
      <xdr:row>7</xdr:row>
      <xdr:rowOff>104040</xdr:rowOff>
    </xdr:to>
    <xdr:pic>
      <xdr:nvPicPr>
        <xdr:cNvPr id="2" name="Image 1"/>
        <xdr:cNvPicPr/>
      </xdr:nvPicPr>
      <xdr:blipFill>
        <a:blip xmlns:r="http://schemas.openxmlformats.org/officeDocument/2006/relationships" r:embed="rId1"/>
        <a:stretch>
          <a:fillRect/>
        </a:stretch>
      </xdr:blipFill>
      <xdr:spPr>
        <a:xfrm>
          <a:off x="2291760" y="263160"/>
          <a:ext cx="8537400" cy="1174320"/>
        </a:xfrm>
        <a:prstGeom prst="rect">
          <a:avLst/>
        </a:prstGeom>
        <a:noFill/>
        <a:ln w="0">
          <a:noFill/>
          <a:prstDash val="solid"/>
        </a:ln>
      </xdr:spPr>
    </xdr:pic>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Downloads/Cadre_des_resultats_PNDA_v2.xlsx" TargetMode="External"/><Relationship Id="rId18" Type="http://schemas.openxmlformats.org/officeDocument/2006/relationships/hyperlink" Target="../../../../Downloads/Cadre_des_resultats_PNDA_v2.xlsx" TargetMode="External"/><Relationship Id="rId26" Type="http://schemas.openxmlformats.org/officeDocument/2006/relationships/hyperlink" Target="../../../../Downloads/Cadre_des_resultats_PNDA_v2.xlsx" TargetMode="External"/><Relationship Id="rId21" Type="http://schemas.openxmlformats.org/officeDocument/2006/relationships/hyperlink" Target="../../../../Downloads/Cadre_des_resultats_PNDA_v2.xlsx" TargetMode="External"/><Relationship Id="rId34" Type="http://schemas.openxmlformats.org/officeDocument/2006/relationships/hyperlink" Target="../../../../Downloads/Cadre_des_resultats_PNDA_v2.xlsx" TargetMode="External"/><Relationship Id="rId7" Type="http://schemas.openxmlformats.org/officeDocument/2006/relationships/hyperlink" Target="../../../../Downloads/Cadre_des_resultats_PNDA_v2.xlsx" TargetMode="External"/><Relationship Id="rId12" Type="http://schemas.openxmlformats.org/officeDocument/2006/relationships/hyperlink" Target="../../../../Downloads/Cadre_des_resultats_PNDA_v2.xlsx" TargetMode="External"/><Relationship Id="rId17" Type="http://schemas.openxmlformats.org/officeDocument/2006/relationships/hyperlink" Target="../../../../Downloads/Cadre_des_resultats_PNDA_v2.xlsx" TargetMode="External"/><Relationship Id="rId25" Type="http://schemas.openxmlformats.org/officeDocument/2006/relationships/hyperlink" Target="../../../../Downloads/Cadre_des_resultats_PNDA_v2.xlsx" TargetMode="External"/><Relationship Id="rId33" Type="http://schemas.openxmlformats.org/officeDocument/2006/relationships/hyperlink" Target="../../../../Downloads/Cadre_des_resultats_PNDA_v2.xlsx" TargetMode="External"/><Relationship Id="rId2" Type="http://schemas.openxmlformats.org/officeDocument/2006/relationships/hyperlink" Target="../../../../Downloads/Cadre_des_resultats_PNDA_v2.xlsx" TargetMode="External"/><Relationship Id="rId16" Type="http://schemas.openxmlformats.org/officeDocument/2006/relationships/hyperlink" Target="../../../../Downloads/Cadre_des_resultats_PNDA_v2.xlsx" TargetMode="External"/><Relationship Id="rId20" Type="http://schemas.openxmlformats.org/officeDocument/2006/relationships/hyperlink" Target="../../../../Downloads/Cadre_des_resultats_PNDA_v2.xlsx" TargetMode="External"/><Relationship Id="rId29" Type="http://schemas.openxmlformats.org/officeDocument/2006/relationships/hyperlink" Target="../../../../Downloads/Cadre_des_resultats_PNDA_v2.xlsx" TargetMode="External"/><Relationship Id="rId1" Type="http://schemas.openxmlformats.org/officeDocument/2006/relationships/hyperlink" Target="../../../../Downloads/Cadre_des_resultats_PNDA_v2.xlsx" TargetMode="External"/><Relationship Id="rId6" Type="http://schemas.openxmlformats.org/officeDocument/2006/relationships/hyperlink" Target="../../../../Downloads/Cadre_des_resultats_PNDA_v2.xlsx" TargetMode="External"/><Relationship Id="rId11" Type="http://schemas.openxmlformats.org/officeDocument/2006/relationships/hyperlink" Target="../../../../Downloads/Cadre_des_resultats_PNDA_v2.xlsx" TargetMode="External"/><Relationship Id="rId24" Type="http://schemas.openxmlformats.org/officeDocument/2006/relationships/hyperlink" Target="../../../../Downloads/Cadre_des_resultats_PNDA_v2.xlsx" TargetMode="External"/><Relationship Id="rId32" Type="http://schemas.openxmlformats.org/officeDocument/2006/relationships/hyperlink" Target="../../../../Downloads/Cadre_des_resultats_PNDA_v2.xlsx" TargetMode="External"/><Relationship Id="rId37" Type="http://schemas.openxmlformats.org/officeDocument/2006/relationships/comments" Target="../comments1.xml"/><Relationship Id="rId5" Type="http://schemas.openxmlformats.org/officeDocument/2006/relationships/hyperlink" Target="../../../../Downloads/Cadre_des_resultats_PNDA_v2.xlsx" TargetMode="External"/><Relationship Id="rId15" Type="http://schemas.openxmlformats.org/officeDocument/2006/relationships/hyperlink" Target="../../../../Downloads/Cadre_des_resultats_PNDA_v2.xlsx" TargetMode="External"/><Relationship Id="rId23" Type="http://schemas.openxmlformats.org/officeDocument/2006/relationships/hyperlink" Target="../../../../Downloads/Cadre_des_resultats_PNDA_v2.xlsx" TargetMode="External"/><Relationship Id="rId28" Type="http://schemas.openxmlformats.org/officeDocument/2006/relationships/hyperlink" Target="../../../../Downloads/Cadre_des_resultats_PNDA_v2.xlsx" TargetMode="External"/><Relationship Id="rId36" Type="http://schemas.openxmlformats.org/officeDocument/2006/relationships/vmlDrawing" Target="../drawings/vmlDrawing1.vml"/><Relationship Id="rId10" Type="http://schemas.openxmlformats.org/officeDocument/2006/relationships/hyperlink" Target="../../../../Downloads/Cadre_des_resultats_PNDA_v2.xlsx" TargetMode="External"/><Relationship Id="rId19" Type="http://schemas.openxmlformats.org/officeDocument/2006/relationships/hyperlink" Target="../../../../Downloads/Cadre_des_resultats_PNDA_v2.xlsx" TargetMode="External"/><Relationship Id="rId31" Type="http://schemas.openxmlformats.org/officeDocument/2006/relationships/hyperlink" Target="../../../../Downloads/Cadre_des_resultats_PNDA_v2.xlsx" TargetMode="External"/><Relationship Id="rId4" Type="http://schemas.openxmlformats.org/officeDocument/2006/relationships/hyperlink" Target="../../../../Downloads/Cadre_des_resultats_PNDA_v2.xlsx" TargetMode="External"/><Relationship Id="rId9" Type="http://schemas.openxmlformats.org/officeDocument/2006/relationships/hyperlink" Target="../../../../Downloads/Cadre_des_resultats_PNDA_v2.xlsx" TargetMode="External"/><Relationship Id="rId14" Type="http://schemas.openxmlformats.org/officeDocument/2006/relationships/hyperlink" Target="../../../../Downloads/Cadre_des_resultats_PNDA_v2.xlsx" TargetMode="External"/><Relationship Id="rId22" Type="http://schemas.openxmlformats.org/officeDocument/2006/relationships/hyperlink" Target="../../../../Downloads/Cadre_des_resultats_PNDA_v2.xlsx" TargetMode="External"/><Relationship Id="rId27" Type="http://schemas.openxmlformats.org/officeDocument/2006/relationships/hyperlink" Target="../../../../Downloads/Cadre_des_resultats_PNDA_v2.xlsx" TargetMode="External"/><Relationship Id="rId30" Type="http://schemas.openxmlformats.org/officeDocument/2006/relationships/hyperlink" Target="../../../../Downloads/Cadre_des_resultats_PNDA_v2.xlsx" TargetMode="External"/><Relationship Id="rId35" Type="http://schemas.openxmlformats.org/officeDocument/2006/relationships/hyperlink" Target="../../../../Downloads/Cadre_des_resultats_PNDA_v2.xlsx" TargetMode="External"/><Relationship Id="rId8" Type="http://schemas.openxmlformats.org/officeDocument/2006/relationships/hyperlink" Target="../../../../Downloads/Cadre_des_resultats_PNDA_v2.xlsx" TargetMode="External"/><Relationship Id="rId3" Type="http://schemas.openxmlformats.org/officeDocument/2006/relationships/hyperlink" Target="../../../../Downloads/Cadre_des_resultats_PNDA_v2.xlsx"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Downloads/Cadre_des_resultats_PNDA_v2.xlsx" TargetMode="External"/><Relationship Id="rId18" Type="http://schemas.openxmlformats.org/officeDocument/2006/relationships/hyperlink" Target="../../../../Downloads/Cadre_des_resultats_PNDA_v2.xlsx" TargetMode="External"/><Relationship Id="rId26" Type="http://schemas.openxmlformats.org/officeDocument/2006/relationships/hyperlink" Target="../../../../Downloads/Cadre_des_resultats_PNDA_v2.xlsx" TargetMode="External"/><Relationship Id="rId21" Type="http://schemas.openxmlformats.org/officeDocument/2006/relationships/hyperlink" Target="../../../../Downloads/Cadre_des_resultats_PNDA_v2.xlsx" TargetMode="External"/><Relationship Id="rId34" Type="http://schemas.openxmlformats.org/officeDocument/2006/relationships/hyperlink" Target="../../../../Downloads/Cadre_des_resultats_PNDA_v2.xlsx" TargetMode="External"/><Relationship Id="rId7" Type="http://schemas.openxmlformats.org/officeDocument/2006/relationships/hyperlink" Target="../../../../Downloads/Cadre_des_resultats_PNDA_v2.xlsx" TargetMode="External"/><Relationship Id="rId12" Type="http://schemas.openxmlformats.org/officeDocument/2006/relationships/hyperlink" Target="../../../../Downloads/Cadre_des_resultats_PNDA_v2.xlsx" TargetMode="External"/><Relationship Id="rId17" Type="http://schemas.openxmlformats.org/officeDocument/2006/relationships/hyperlink" Target="../../../../Downloads/Cadre_des_resultats_PNDA_v2.xlsx" TargetMode="External"/><Relationship Id="rId25" Type="http://schemas.openxmlformats.org/officeDocument/2006/relationships/hyperlink" Target="../../../../Downloads/Cadre_des_resultats_PNDA_v2.xlsx" TargetMode="External"/><Relationship Id="rId33" Type="http://schemas.openxmlformats.org/officeDocument/2006/relationships/hyperlink" Target="../../../../Downloads/Cadre_des_resultats_PNDA_v2.xlsx" TargetMode="External"/><Relationship Id="rId2" Type="http://schemas.openxmlformats.org/officeDocument/2006/relationships/hyperlink" Target="../../../../Downloads/Cadre_des_resultats_PNDA_v2.xlsx" TargetMode="External"/><Relationship Id="rId16" Type="http://schemas.openxmlformats.org/officeDocument/2006/relationships/hyperlink" Target="../../../../Downloads/Cadre_des_resultats_PNDA_v2.xlsx" TargetMode="External"/><Relationship Id="rId20" Type="http://schemas.openxmlformats.org/officeDocument/2006/relationships/hyperlink" Target="../../../../Downloads/Cadre_des_resultats_PNDA_v2.xlsx" TargetMode="External"/><Relationship Id="rId29" Type="http://schemas.openxmlformats.org/officeDocument/2006/relationships/hyperlink" Target="../../../../Downloads/Cadre_des_resultats_PNDA_v2.xlsx" TargetMode="External"/><Relationship Id="rId1" Type="http://schemas.openxmlformats.org/officeDocument/2006/relationships/hyperlink" Target="../../../../Downloads/Cadre_des_resultats_PNDA_v2.xlsx" TargetMode="External"/><Relationship Id="rId6" Type="http://schemas.openxmlformats.org/officeDocument/2006/relationships/hyperlink" Target="../../../../Downloads/Cadre_des_resultats_PNDA_v2.xlsx" TargetMode="External"/><Relationship Id="rId11" Type="http://schemas.openxmlformats.org/officeDocument/2006/relationships/hyperlink" Target="../../../../Downloads/Cadre_des_resultats_PNDA_v2.xlsx" TargetMode="External"/><Relationship Id="rId24" Type="http://schemas.openxmlformats.org/officeDocument/2006/relationships/hyperlink" Target="../../../../Downloads/Cadre_des_resultats_PNDA_v2.xlsx" TargetMode="External"/><Relationship Id="rId32" Type="http://schemas.openxmlformats.org/officeDocument/2006/relationships/hyperlink" Target="../../../../Downloads/Cadre_des_resultats_PNDA_v2.xlsx" TargetMode="External"/><Relationship Id="rId37" Type="http://schemas.openxmlformats.org/officeDocument/2006/relationships/comments" Target="../comments2.xml"/><Relationship Id="rId5" Type="http://schemas.openxmlformats.org/officeDocument/2006/relationships/hyperlink" Target="../../../../Downloads/Cadre_des_resultats_PNDA_v2.xlsx" TargetMode="External"/><Relationship Id="rId15" Type="http://schemas.openxmlformats.org/officeDocument/2006/relationships/hyperlink" Target="../../../../Downloads/Cadre_des_resultats_PNDA_v2.xlsx" TargetMode="External"/><Relationship Id="rId23" Type="http://schemas.openxmlformats.org/officeDocument/2006/relationships/hyperlink" Target="../../../../Downloads/Cadre_des_resultats_PNDA_v2.xlsx" TargetMode="External"/><Relationship Id="rId28" Type="http://schemas.openxmlformats.org/officeDocument/2006/relationships/hyperlink" Target="../../../../Downloads/Cadre_des_resultats_PNDA_v2.xlsx" TargetMode="External"/><Relationship Id="rId36" Type="http://schemas.openxmlformats.org/officeDocument/2006/relationships/vmlDrawing" Target="../drawings/vmlDrawing2.vml"/><Relationship Id="rId10" Type="http://schemas.openxmlformats.org/officeDocument/2006/relationships/hyperlink" Target="../../../../Downloads/Cadre_des_resultats_PNDA_v2.xlsx" TargetMode="External"/><Relationship Id="rId19" Type="http://schemas.openxmlformats.org/officeDocument/2006/relationships/hyperlink" Target="../../../../Downloads/Cadre_des_resultats_PNDA_v2.xlsx" TargetMode="External"/><Relationship Id="rId31" Type="http://schemas.openxmlformats.org/officeDocument/2006/relationships/hyperlink" Target="../../../../Downloads/Cadre_des_resultats_PNDA_v2.xlsx" TargetMode="External"/><Relationship Id="rId4" Type="http://schemas.openxmlformats.org/officeDocument/2006/relationships/hyperlink" Target="../../../../Downloads/Cadre_des_resultats_PNDA_v2.xlsx" TargetMode="External"/><Relationship Id="rId9" Type="http://schemas.openxmlformats.org/officeDocument/2006/relationships/hyperlink" Target="../../../../Downloads/Cadre_des_resultats_PNDA_v2.xlsx" TargetMode="External"/><Relationship Id="rId14" Type="http://schemas.openxmlformats.org/officeDocument/2006/relationships/hyperlink" Target="../../../../Downloads/Cadre_des_resultats_PNDA_v2.xlsx" TargetMode="External"/><Relationship Id="rId22" Type="http://schemas.openxmlformats.org/officeDocument/2006/relationships/hyperlink" Target="../../../../Downloads/Cadre_des_resultats_PNDA_v2.xlsx" TargetMode="External"/><Relationship Id="rId27" Type="http://schemas.openxmlformats.org/officeDocument/2006/relationships/hyperlink" Target="../../../../Downloads/Cadre_des_resultats_PNDA_v2.xlsx" TargetMode="External"/><Relationship Id="rId30" Type="http://schemas.openxmlformats.org/officeDocument/2006/relationships/hyperlink" Target="../../../../Downloads/Cadre_des_resultats_PNDA_v2.xlsx" TargetMode="External"/><Relationship Id="rId35" Type="http://schemas.openxmlformats.org/officeDocument/2006/relationships/hyperlink" Target="../../../../Downloads/Cadre_des_resultats_PNDA_v2.xlsx" TargetMode="External"/><Relationship Id="rId8" Type="http://schemas.openxmlformats.org/officeDocument/2006/relationships/hyperlink" Target="../../../../Downloads/Cadre_des_resultats_PNDA_v2.xlsx" TargetMode="External"/><Relationship Id="rId3" Type="http://schemas.openxmlformats.org/officeDocument/2006/relationships/hyperlink" Target="../../../../Downloads/Cadre_des_resultats_PNDA_v2.xls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Views>
    <sheetView showGridLines="0" topLeftCell="C8" zoomScale="92" zoomScaleNormal="92" workbookViewId="0">
      <selection activeCell="E18" sqref="E18"/>
    </sheetView>
  </sheetViews>
  <sheetFormatPr baseColWidth="10" defaultColWidth="0" defaultRowHeight="14.75" zeroHeight="1" x14ac:dyDescent="0.75"/>
  <cols>
    <col min="1" max="3" width="11.453125" style="124" customWidth="1"/>
    <col min="4" max="4" width="21.453125" style="124" customWidth="1"/>
    <col min="5" max="15" width="11.453125" style="124" customWidth="1"/>
    <col min="16" max="17" width="11.453125" style="124" hidden="1" customWidth="1"/>
    <col min="18" max="16384" width="11.453125" style="124" hidden="1"/>
  </cols>
  <sheetData>
    <row r="1" spans="1:15" ht="15" customHeight="1" x14ac:dyDescent="0.75">
      <c r="A1" s="1"/>
      <c r="B1" s="1"/>
      <c r="C1" s="1"/>
      <c r="D1" s="1"/>
      <c r="E1" s="1"/>
      <c r="F1" s="1"/>
      <c r="G1" s="1"/>
      <c r="H1" s="1"/>
      <c r="I1" s="1"/>
      <c r="J1" s="1"/>
      <c r="K1" s="1"/>
      <c r="L1" s="1"/>
      <c r="M1" s="1"/>
      <c r="N1" s="1"/>
      <c r="O1" s="1"/>
    </row>
    <row r="2" spans="1:15" ht="15" customHeight="1" x14ac:dyDescent="0.75">
      <c r="A2" s="1"/>
      <c r="B2" s="1"/>
      <c r="C2" s="1"/>
      <c r="D2" s="1"/>
      <c r="E2" s="1"/>
      <c r="F2" s="1"/>
      <c r="G2" s="1"/>
      <c r="H2" s="1"/>
      <c r="I2" s="1"/>
      <c r="J2" s="1"/>
      <c r="K2" s="1"/>
      <c r="L2" s="1"/>
      <c r="M2" s="1"/>
      <c r="N2" s="1"/>
      <c r="O2" s="1"/>
    </row>
    <row r="3" spans="1:15" ht="15" customHeight="1" x14ac:dyDescent="0.75">
      <c r="A3" s="1"/>
      <c r="B3" s="1"/>
      <c r="C3" s="1"/>
      <c r="D3" s="1"/>
      <c r="E3" s="1"/>
      <c r="F3" s="1"/>
      <c r="G3" s="1"/>
      <c r="H3" s="1"/>
      <c r="I3" s="1"/>
      <c r="J3" s="1"/>
      <c r="K3" s="1"/>
      <c r="L3" s="1"/>
      <c r="M3" s="1"/>
      <c r="N3" s="1"/>
      <c r="O3" s="1"/>
    </row>
    <row r="4" spans="1:15" ht="15" customHeight="1" x14ac:dyDescent="0.75">
      <c r="A4" s="1"/>
      <c r="B4" s="1"/>
      <c r="C4" s="1"/>
      <c r="D4" s="1"/>
      <c r="E4" s="1"/>
      <c r="F4" s="1"/>
      <c r="G4" s="1"/>
      <c r="H4" s="1"/>
      <c r="I4" s="1"/>
      <c r="J4" s="1"/>
      <c r="K4" s="1"/>
      <c r="L4" s="1"/>
      <c r="M4" s="1"/>
      <c r="N4" s="1"/>
      <c r="O4" s="1"/>
    </row>
    <row r="5" spans="1:15" ht="15" customHeight="1" x14ac:dyDescent="0.75">
      <c r="A5" s="1"/>
      <c r="B5" s="1"/>
      <c r="C5" s="1"/>
      <c r="D5" s="1"/>
      <c r="E5" s="1"/>
      <c r="F5" s="1"/>
      <c r="G5" s="1"/>
      <c r="H5" s="1"/>
      <c r="I5" s="1"/>
      <c r="J5" s="1"/>
      <c r="K5" s="1"/>
      <c r="L5" s="1"/>
      <c r="M5" s="1"/>
      <c r="N5" s="1"/>
      <c r="O5" s="1"/>
    </row>
    <row r="6" spans="1:15" ht="15" customHeight="1" x14ac:dyDescent="0.75">
      <c r="A6" s="1"/>
      <c r="B6" s="1"/>
      <c r="C6" s="1"/>
      <c r="D6" s="1"/>
      <c r="E6" s="1"/>
      <c r="F6" s="1"/>
      <c r="G6" s="1"/>
      <c r="H6" s="1"/>
      <c r="I6" s="1"/>
      <c r="J6" s="1"/>
      <c r="K6" s="1"/>
      <c r="L6" s="1"/>
      <c r="M6" s="1"/>
      <c r="N6" s="1"/>
      <c r="O6" s="1"/>
    </row>
    <row r="7" spans="1:15" ht="15" customHeight="1" x14ac:dyDescent="0.75">
      <c r="A7" s="1"/>
      <c r="B7" s="1"/>
      <c r="C7" s="1"/>
      <c r="D7" s="1"/>
      <c r="E7" s="1"/>
      <c r="F7" s="1"/>
      <c r="G7" s="1"/>
      <c r="H7" s="1"/>
      <c r="I7" s="1"/>
      <c r="J7" s="1"/>
      <c r="K7" s="1"/>
      <c r="L7" s="1"/>
      <c r="M7" s="1"/>
      <c r="N7" s="1"/>
      <c r="O7" s="1"/>
    </row>
    <row r="8" spans="1:15" ht="15" customHeight="1" x14ac:dyDescent="0.75">
      <c r="A8" s="1"/>
      <c r="B8" s="1"/>
      <c r="C8" s="1"/>
      <c r="D8" s="1"/>
      <c r="E8" s="1"/>
      <c r="F8" s="1"/>
      <c r="G8" s="1"/>
      <c r="H8" s="1"/>
      <c r="I8" s="1"/>
      <c r="J8" s="1"/>
      <c r="K8" s="1"/>
      <c r="L8" s="1"/>
      <c r="M8" s="1"/>
      <c r="N8" s="1"/>
      <c r="O8" s="1"/>
    </row>
    <row r="9" spans="1:15" ht="15" customHeight="1" x14ac:dyDescent="0.75">
      <c r="A9" s="1"/>
      <c r="B9" s="1"/>
      <c r="C9" s="1"/>
      <c r="D9" s="1"/>
      <c r="E9" s="1"/>
      <c r="F9" s="1"/>
      <c r="G9" s="1"/>
      <c r="H9" s="1"/>
      <c r="I9" s="1"/>
      <c r="J9" s="1"/>
      <c r="K9" s="1"/>
      <c r="L9" s="1"/>
      <c r="M9" s="1"/>
      <c r="N9" s="1"/>
      <c r="O9" s="1"/>
    </row>
    <row r="10" spans="1:15" ht="14.25" customHeight="1" x14ac:dyDescent="0.75">
      <c r="A10" s="1"/>
      <c r="B10" s="1"/>
      <c r="C10" s="1"/>
      <c r="D10" s="206" t="s">
        <v>0</v>
      </c>
      <c r="E10" s="207"/>
      <c r="F10" s="207"/>
      <c r="G10" s="207"/>
      <c r="H10" s="207"/>
      <c r="I10" s="207"/>
      <c r="J10" s="207"/>
      <c r="K10" s="207"/>
      <c r="L10" s="1"/>
      <c r="M10" s="1"/>
      <c r="N10" s="1"/>
      <c r="O10" s="1"/>
    </row>
    <row r="11" spans="1:15" ht="14.25" customHeight="1" x14ac:dyDescent="0.75">
      <c r="A11" s="1"/>
      <c r="B11" s="1"/>
      <c r="C11" s="1"/>
      <c r="D11" s="208"/>
      <c r="E11" s="207"/>
      <c r="F11" s="207"/>
      <c r="G11" s="207"/>
      <c r="H11" s="207"/>
      <c r="I11" s="207"/>
      <c r="J11" s="207"/>
      <c r="K11" s="207"/>
      <c r="L11" s="1"/>
      <c r="M11" s="1"/>
      <c r="N11" s="1"/>
      <c r="O11" s="1"/>
    </row>
    <row r="12" spans="1:15" ht="14.25" customHeight="1" x14ac:dyDescent="0.75">
      <c r="A12" s="1"/>
      <c r="B12" s="1"/>
      <c r="C12" s="1"/>
      <c r="D12" s="208"/>
      <c r="E12" s="207"/>
      <c r="F12" s="207"/>
      <c r="G12" s="207"/>
      <c r="H12" s="207"/>
      <c r="I12" s="207"/>
      <c r="J12" s="207"/>
      <c r="K12" s="207"/>
      <c r="L12" s="1"/>
      <c r="M12" s="1"/>
      <c r="N12" s="1"/>
      <c r="O12" s="1"/>
    </row>
    <row r="13" spans="1:15" ht="14.25" customHeight="1" x14ac:dyDescent="0.75">
      <c r="A13" s="1"/>
      <c r="B13" s="1"/>
      <c r="C13" s="1"/>
      <c r="D13" s="208"/>
      <c r="E13" s="207"/>
      <c r="F13" s="207"/>
      <c r="G13" s="207"/>
      <c r="H13" s="207"/>
      <c r="I13" s="207"/>
      <c r="J13" s="207"/>
      <c r="K13" s="207"/>
      <c r="L13" s="1"/>
      <c r="M13" s="1"/>
      <c r="N13" s="1"/>
      <c r="O13" s="1"/>
    </row>
    <row r="14" spans="1:15" ht="14.25" customHeight="1" x14ac:dyDescent="0.75">
      <c r="A14" s="1"/>
      <c r="B14" s="1"/>
      <c r="C14" s="1"/>
      <c r="D14" s="208"/>
      <c r="E14" s="207"/>
      <c r="F14" s="207"/>
      <c r="G14" s="207"/>
      <c r="H14" s="207"/>
      <c r="I14" s="207"/>
      <c r="J14" s="207"/>
      <c r="K14" s="207"/>
      <c r="L14" s="1"/>
      <c r="M14" s="1"/>
      <c r="N14" s="1"/>
      <c r="O14" s="1"/>
    </row>
    <row r="15" spans="1:15" ht="15" customHeight="1" x14ac:dyDescent="0.75">
      <c r="A15" s="1"/>
      <c r="B15" s="1"/>
      <c r="C15" s="1"/>
      <c r="D15" s="1"/>
      <c r="E15" s="1"/>
      <c r="F15" s="1"/>
      <c r="G15" s="1"/>
      <c r="H15" s="1"/>
      <c r="I15" s="1"/>
      <c r="J15" s="1"/>
      <c r="K15" s="1"/>
      <c r="L15" s="1"/>
      <c r="M15" s="1"/>
      <c r="N15" s="1"/>
      <c r="O15" s="1"/>
    </row>
    <row r="16" spans="1:15" ht="15" customHeight="1" x14ac:dyDescent="0.75">
      <c r="A16" s="1"/>
      <c r="B16" s="1"/>
      <c r="C16" s="1"/>
      <c r="D16" s="1"/>
      <c r="E16" s="1"/>
      <c r="F16" s="1"/>
      <c r="G16" s="1"/>
      <c r="H16" s="1"/>
      <c r="I16" s="1"/>
      <c r="J16" s="1"/>
      <c r="K16" s="1"/>
      <c r="L16" s="1"/>
      <c r="M16" s="1"/>
      <c r="N16" s="1"/>
      <c r="O16" s="1"/>
    </row>
    <row r="17" spans="1:15" ht="24" customHeight="1" x14ac:dyDescent="1.1000000000000001">
      <c r="A17" s="1"/>
      <c r="B17" s="1"/>
      <c r="C17" s="1"/>
      <c r="D17" s="2" t="s">
        <v>1</v>
      </c>
      <c r="E17" s="3"/>
      <c r="F17" s="3"/>
      <c r="G17" s="3"/>
      <c r="H17" s="3"/>
      <c r="I17" s="3"/>
      <c r="J17" s="3"/>
      <c r="K17" s="3"/>
      <c r="L17" s="3"/>
      <c r="M17" s="1"/>
      <c r="N17" s="1"/>
      <c r="O17" s="1"/>
    </row>
    <row r="18" spans="1:15" ht="15" customHeight="1" x14ac:dyDescent="0.75">
      <c r="A18" s="1"/>
      <c r="B18" s="1"/>
      <c r="C18" s="1"/>
      <c r="D18" s="4" t="s">
        <v>2</v>
      </c>
      <c r="E18" s="3" t="s">
        <v>3</v>
      </c>
      <c r="F18" s="3"/>
      <c r="G18" s="3"/>
      <c r="H18" s="3"/>
      <c r="I18" s="3"/>
      <c r="J18" s="3"/>
      <c r="K18" s="3"/>
      <c r="L18" s="3"/>
      <c r="M18" s="1"/>
      <c r="N18" s="1"/>
      <c r="O18" s="1"/>
    </row>
    <row r="19" spans="1:15" ht="15" customHeight="1" x14ac:dyDescent="0.75">
      <c r="A19" s="1"/>
      <c r="B19" s="1"/>
      <c r="C19" s="1"/>
      <c r="D19" s="4" t="s">
        <v>4</v>
      </c>
      <c r="E19" s="3" t="s">
        <v>5</v>
      </c>
      <c r="F19" s="3"/>
      <c r="G19" s="3"/>
      <c r="H19" s="3"/>
      <c r="I19" s="3"/>
      <c r="J19" s="3"/>
      <c r="K19" s="3"/>
      <c r="L19" s="3"/>
      <c r="M19" s="1"/>
      <c r="N19" s="1"/>
      <c r="O19" s="1"/>
    </row>
    <row r="20" spans="1:15" ht="15" customHeight="1" x14ac:dyDescent="0.75">
      <c r="A20" s="1"/>
      <c r="B20" s="1"/>
      <c r="C20" s="1"/>
      <c r="D20" s="4" t="s">
        <v>6</v>
      </c>
      <c r="E20" s="3" t="s">
        <v>7</v>
      </c>
      <c r="F20" s="3"/>
      <c r="G20" s="3"/>
      <c r="H20" s="3"/>
      <c r="I20" s="3"/>
      <c r="J20" s="3"/>
      <c r="K20" s="3"/>
      <c r="L20" s="3"/>
      <c r="M20" s="1"/>
      <c r="N20" s="1"/>
      <c r="O20" s="1"/>
    </row>
    <row r="21" spans="1:15" ht="15" customHeight="1" x14ac:dyDescent="0.75">
      <c r="A21" s="1"/>
      <c r="B21" s="1"/>
      <c r="C21" s="1"/>
      <c r="D21" s="1"/>
      <c r="E21" s="1"/>
      <c r="F21" s="1"/>
      <c r="G21" s="1"/>
      <c r="H21" s="1"/>
      <c r="I21" s="1"/>
      <c r="J21" s="1"/>
      <c r="K21" s="1"/>
      <c r="L21" s="1"/>
      <c r="M21" s="1"/>
      <c r="N21" s="1"/>
      <c r="O21" s="1"/>
    </row>
    <row r="22" spans="1:15" ht="24" customHeight="1" x14ac:dyDescent="1.1000000000000001">
      <c r="A22" s="1"/>
      <c r="B22" s="1"/>
      <c r="C22" s="1"/>
      <c r="D22" s="5" t="s">
        <v>8</v>
      </c>
      <c r="E22" s="2" t="s">
        <v>9</v>
      </c>
      <c r="F22" s="2"/>
      <c r="G22" s="2"/>
      <c r="H22" s="3"/>
      <c r="I22" s="3"/>
      <c r="J22" s="3"/>
      <c r="K22" s="3"/>
      <c r="L22" s="3"/>
      <c r="M22" s="1"/>
      <c r="N22" s="1"/>
      <c r="O22" s="1"/>
    </row>
    <row r="23" spans="1:15" ht="18.75" customHeight="1" x14ac:dyDescent="0.9">
      <c r="A23" s="1"/>
      <c r="B23" s="1"/>
      <c r="C23" s="1"/>
      <c r="D23" s="6" t="s">
        <v>10</v>
      </c>
      <c r="E23" s="3" t="s">
        <v>11</v>
      </c>
      <c r="F23" s="3"/>
      <c r="G23" s="3"/>
      <c r="H23" s="3"/>
      <c r="I23" s="3"/>
      <c r="J23" s="3"/>
      <c r="K23" s="3"/>
      <c r="L23" s="3"/>
      <c r="M23" s="1"/>
      <c r="N23" s="1"/>
      <c r="O23" s="1"/>
    </row>
    <row r="24" spans="1:15" ht="15" customHeight="1" x14ac:dyDescent="0.75">
      <c r="A24" s="1"/>
      <c r="B24" s="1"/>
      <c r="C24" s="1"/>
      <c r="D24" s="1"/>
      <c r="E24" s="1"/>
      <c r="F24" s="1"/>
      <c r="G24" s="1"/>
      <c r="H24" s="1"/>
      <c r="I24" s="1"/>
      <c r="J24" s="1"/>
      <c r="K24" s="1"/>
      <c r="L24" s="1"/>
      <c r="M24" s="1"/>
      <c r="N24" s="1"/>
      <c r="O24" s="1"/>
    </row>
    <row r="25" spans="1:15" ht="24" customHeight="1" x14ac:dyDescent="1.1000000000000001">
      <c r="A25" s="1"/>
      <c r="B25" s="1"/>
      <c r="C25" s="1"/>
      <c r="D25" s="5" t="s">
        <v>12</v>
      </c>
      <c r="E25" s="2" t="s">
        <v>13</v>
      </c>
      <c r="F25" s="2"/>
      <c r="G25" s="2"/>
      <c r="H25" s="3"/>
      <c r="I25" s="3"/>
      <c r="J25" s="3"/>
      <c r="K25" s="3"/>
      <c r="L25" s="3"/>
      <c r="M25" s="1"/>
      <c r="N25" s="1"/>
      <c r="O25" s="1"/>
    </row>
    <row r="26" spans="1:15" ht="18.75" customHeight="1" x14ac:dyDescent="0.9">
      <c r="A26" s="1"/>
      <c r="B26" s="1"/>
      <c r="C26" s="1"/>
      <c r="D26" s="6" t="s">
        <v>14</v>
      </c>
      <c r="E26" s="3" t="s">
        <v>15</v>
      </c>
      <c r="F26" s="3"/>
      <c r="G26" s="3"/>
      <c r="H26" s="3"/>
      <c r="I26" s="3"/>
      <c r="J26" s="3"/>
      <c r="K26" s="3"/>
      <c r="L26" s="3"/>
      <c r="M26" s="1"/>
      <c r="N26" s="1"/>
      <c r="O26" s="1"/>
    </row>
    <row r="27" spans="1:15" ht="18.75" customHeight="1" x14ac:dyDescent="0.9">
      <c r="A27" s="1"/>
      <c r="B27" s="1"/>
      <c r="C27" s="1"/>
      <c r="D27" s="6" t="s">
        <v>16</v>
      </c>
      <c r="E27" s="7" t="s">
        <v>17</v>
      </c>
      <c r="F27" s="3"/>
      <c r="G27" s="3"/>
      <c r="H27" s="3"/>
      <c r="I27" s="3"/>
      <c r="J27" s="3"/>
      <c r="K27" s="3"/>
      <c r="L27" s="3"/>
      <c r="M27" s="1"/>
      <c r="N27" s="1"/>
      <c r="O27" s="1"/>
    </row>
    <row r="28" spans="1:15" ht="18.75" customHeight="1" x14ac:dyDescent="0.75">
      <c r="A28" s="1"/>
      <c r="B28" s="1"/>
      <c r="C28" s="1"/>
      <c r="D28" s="1"/>
      <c r="E28" s="1"/>
      <c r="F28" s="1"/>
      <c r="G28" s="1"/>
      <c r="H28" s="1"/>
      <c r="I28" s="1"/>
      <c r="J28" s="1"/>
      <c r="K28" s="1"/>
      <c r="L28" s="1"/>
      <c r="M28" s="1"/>
      <c r="N28" s="1"/>
      <c r="O28" s="1"/>
    </row>
    <row r="29" spans="1:15" ht="15" customHeight="1" x14ac:dyDescent="1.1000000000000001">
      <c r="A29" s="1"/>
      <c r="B29" s="1"/>
      <c r="C29" s="1"/>
      <c r="D29" s="5" t="s">
        <v>18</v>
      </c>
      <c r="E29" s="2" t="s">
        <v>19</v>
      </c>
      <c r="F29" s="2"/>
      <c r="G29" s="2"/>
      <c r="H29" s="3"/>
      <c r="I29" s="3"/>
      <c r="J29" s="3"/>
      <c r="K29" s="3"/>
      <c r="L29" s="3"/>
      <c r="M29" s="1"/>
      <c r="N29" s="1"/>
      <c r="O29" s="1"/>
    </row>
    <row r="30" spans="1:15" ht="24" customHeight="1" x14ac:dyDescent="0.9">
      <c r="A30" s="1"/>
      <c r="B30" s="1"/>
      <c r="C30" s="1"/>
      <c r="D30" s="6" t="s">
        <v>20</v>
      </c>
      <c r="E30" s="3" t="s">
        <v>21</v>
      </c>
      <c r="F30" s="3"/>
      <c r="G30" s="3"/>
      <c r="H30" s="3"/>
      <c r="I30" s="3"/>
      <c r="J30" s="3"/>
      <c r="K30" s="3"/>
      <c r="L30" s="3"/>
      <c r="M30" s="1"/>
      <c r="N30" s="1"/>
      <c r="O30" s="1"/>
    </row>
    <row r="31" spans="1:15" ht="18.75" customHeight="1" x14ac:dyDescent="0.75">
      <c r="A31" s="1"/>
      <c r="B31" s="1"/>
      <c r="C31" s="1"/>
      <c r="D31" s="1"/>
      <c r="E31" s="1"/>
      <c r="F31" s="1"/>
      <c r="G31" s="1"/>
      <c r="H31" s="1"/>
      <c r="I31" s="1"/>
      <c r="J31" s="1"/>
      <c r="K31" s="1"/>
      <c r="L31" s="1"/>
      <c r="M31" s="1"/>
      <c r="N31" s="1"/>
      <c r="O31" s="1"/>
    </row>
    <row r="32" spans="1:15" ht="15" customHeight="1" x14ac:dyDescent="1.1000000000000001">
      <c r="A32" s="1"/>
      <c r="B32" s="1"/>
      <c r="C32" s="1"/>
      <c r="D32" s="5" t="s">
        <v>22</v>
      </c>
      <c r="E32" s="2" t="s">
        <v>23</v>
      </c>
      <c r="F32" s="2"/>
      <c r="G32" s="2"/>
      <c r="H32" s="3"/>
      <c r="I32" s="3"/>
      <c r="J32" s="3"/>
      <c r="K32" s="3"/>
      <c r="L32" s="3"/>
      <c r="M32" s="1"/>
      <c r="N32" s="1"/>
      <c r="O32" s="1"/>
    </row>
    <row r="33" spans="1:15" ht="24" customHeight="1" x14ac:dyDescent="0.9">
      <c r="A33" s="1"/>
      <c r="B33" s="1"/>
      <c r="C33" s="1"/>
      <c r="D33" s="6" t="s">
        <v>24</v>
      </c>
      <c r="E33" s="3" t="s">
        <v>23</v>
      </c>
      <c r="F33" s="3"/>
      <c r="G33" s="3"/>
      <c r="H33" s="3"/>
      <c r="I33" s="3"/>
      <c r="J33" s="3"/>
      <c r="K33" s="3"/>
      <c r="L33" s="3"/>
      <c r="M33" s="1"/>
      <c r="N33" s="1"/>
      <c r="O33" s="1"/>
    </row>
    <row r="34" spans="1:15" ht="18.75" customHeight="1" x14ac:dyDescent="0.9">
      <c r="A34" s="1"/>
      <c r="B34" s="1"/>
      <c r="C34" s="1"/>
      <c r="D34" s="6"/>
      <c r="E34" s="3"/>
      <c r="F34" s="3"/>
      <c r="G34" s="3"/>
      <c r="H34" s="3"/>
      <c r="I34" s="3"/>
      <c r="J34" s="3"/>
      <c r="K34" s="3"/>
      <c r="L34" s="3"/>
      <c r="M34" s="1"/>
      <c r="N34" s="1"/>
      <c r="O34" s="1"/>
    </row>
    <row r="35" spans="1:15" ht="15" customHeight="1" x14ac:dyDescent="0.75">
      <c r="A35" s="1"/>
      <c r="B35" s="1"/>
      <c r="C35" s="1"/>
      <c r="D35" s="1"/>
      <c r="E35" s="1"/>
      <c r="F35" s="1"/>
      <c r="G35" s="1"/>
      <c r="H35" s="1"/>
      <c r="I35" s="1"/>
      <c r="J35" s="1"/>
      <c r="K35" s="1"/>
      <c r="L35" s="1"/>
      <c r="M35" s="1"/>
      <c r="N35" s="1"/>
      <c r="O35" s="1"/>
    </row>
    <row r="36" spans="1:15" ht="15" customHeight="1" x14ac:dyDescent="0.75">
      <c r="A36" s="1"/>
      <c r="B36" s="1"/>
      <c r="C36" s="1"/>
      <c r="D36" s="1"/>
      <c r="E36" s="1"/>
      <c r="F36" s="1"/>
      <c r="G36" s="1"/>
      <c r="H36" s="1"/>
      <c r="I36" s="1"/>
      <c r="J36" s="1"/>
      <c r="K36" s="1"/>
      <c r="L36" s="1"/>
      <c r="M36" s="1"/>
      <c r="N36" s="1"/>
      <c r="O36" s="1"/>
    </row>
  </sheetData>
  <mergeCells count="1">
    <mergeCell ref="D10:K14"/>
  </mergeCells>
  <hyperlinks>
    <hyperlink ref="D18" location="'Cadre Rés'!C1" display="IODP1"/>
    <hyperlink ref="D19" location="'Cadre Rés'!C9" display="IODP2"/>
    <hyperlink ref="D20" location="'Cadre Rés'!A1" display="IODP3"/>
    <hyperlink ref="D22" location="'Cadre Rés'!B20" display="Composante 1"/>
    <hyperlink ref="D23" location="'Cadre Rés'!B21" display="R1.1"/>
    <hyperlink ref="D25" location="'Cadre Rés'!B31" display="Composante 2"/>
    <hyperlink ref="D26" location="'Cadre Rés'!B32" display="R2.1"/>
    <hyperlink ref="D27" location="'Cadre Rés'!B35" display="R2.2"/>
    <hyperlink ref="D30" location="'Cadre Rés'!B48" display="R3.1"/>
    <hyperlink ref="D33" location="'Cadre Rés'!B56" display="R4.1"/>
  </hyperlinks>
  <pageMargins left="0.7" right="0.7" top="0.75" bottom="0.75" header="0.511811023622047" footer="0.511811023622047"/>
  <pageSetup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61"/>
  <sheetViews>
    <sheetView topLeftCell="A19" zoomScaleNormal="100" workbookViewId="0">
      <selection activeCell="C27" sqref="C27"/>
    </sheetView>
  </sheetViews>
  <sheetFormatPr baseColWidth="10" defaultColWidth="9.453125" defaultRowHeight="14.75" x14ac:dyDescent="0.75"/>
  <cols>
    <col min="1" max="1" width="3.2265625" style="136" customWidth="1"/>
    <col min="2" max="2" width="9.76953125" style="136" customWidth="1"/>
    <col min="3" max="3" width="86.453125" style="8" customWidth="1"/>
    <col min="4" max="4" width="7.76953125" style="9" customWidth="1"/>
    <col min="5" max="5" width="8.76953125" style="8" customWidth="1"/>
    <col min="6" max="6" width="8.453125" style="124" customWidth="1"/>
    <col min="7" max="7" width="8.2265625" style="124" customWidth="1"/>
    <col min="8" max="8" width="9.453125" style="124" customWidth="1"/>
    <col min="9" max="9" width="9.76953125" style="124" customWidth="1"/>
    <col min="10" max="10" width="7.2265625" style="124" customWidth="1"/>
    <col min="11" max="11" width="9.453125" style="124" customWidth="1"/>
    <col min="12" max="12" width="7.2265625" style="124" customWidth="1"/>
    <col min="13" max="13" width="11.2265625" style="124" customWidth="1"/>
    <col min="14" max="14" width="10.453125" style="124" customWidth="1"/>
    <col min="15" max="15" width="9.76953125" style="124" customWidth="1"/>
    <col min="16" max="16" width="10.453125" style="124" customWidth="1"/>
    <col min="17" max="17" width="9.453125" style="124" customWidth="1"/>
    <col min="18" max="18" width="8.76953125" style="124" customWidth="1"/>
    <col min="19" max="20" width="9.453125" style="8" customWidth="1"/>
    <col min="21" max="16384" width="9.453125" style="8"/>
  </cols>
  <sheetData>
    <row r="1" spans="1:25" ht="13.5" customHeight="1" x14ac:dyDescent="0.75">
      <c r="A1" s="214"/>
      <c r="C1" s="11" t="s">
        <v>25</v>
      </c>
      <c r="D1" s="12"/>
      <c r="E1" s="11"/>
    </row>
    <row r="2" spans="1:25" ht="15.75" customHeight="1" x14ac:dyDescent="0.75">
      <c r="A2" s="215"/>
      <c r="B2" s="13"/>
      <c r="C2" s="131"/>
      <c r="D2" s="223" t="s">
        <v>26</v>
      </c>
      <c r="E2" s="230" t="s">
        <v>27</v>
      </c>
      <c r="F2" s="232" t="s">
        <v>28</v>
      </c>
      <c r="G2" s="226"/>
      <c r="H2" s="226"/>
      <c r="I2" s="226"/>
      <c r="J2" s="226"/>
      <c r="K2" s="226"/>
      <c r="L2" s="226"/>
      <c r="M2" s="226"/>
      <c r="N2" s="226"/>
      <c r="O2" s="227"/>
      <c r="P2" s="133"/>
      <c r="Q2" s="133"/>
      <c r="R2" s="133"/>
      <c r="S2" s="132"/>
      <c r="T2" s="223" t="s">
        <v>29</v>
      </c>
      <c r="U2" s="223" t="s">
        <v>30</v>
      </c>
      <c r="V2" s="223" t="s">
        <v>31</v>
      </c>
    </row>
    <row r="3" spans="1:25" ht="36" customHeight="1" x14ac:dyDescent="0.75">
      <c r="A3" s="215"/>
      <c r="B3" s="13"/>
      <c r="C3" s="132" t="s">
        <v>32</v>
      </c>
      <c r="D3" s="224"/>
      <c r="E3" s="224"/>
      <c r="F3" s="225" t="s">
        <v>33</v>
      </c>
      <c r="G3" s="226"/>
      <c r="H3" s="226"/>
      <c r="I3" s="226"/>
      <c r="J3" s="227"/>
      <c r="K3" s="234" t="s">
        <v>34</v>
      </c>
      <c r="L3" s="226"/>
      <c r="M3" s="226"/>
      <c r="N3" s="226"/>
      <c r="O3" s="227"/>
      <c r="P3" s="218" t="s">
        <v>35</v>
      </c>
      <c r="Q3" s="218" t="s">
        <v>36</v>
      </c>
      <c r="R3" s="218" t="s">
        <v>37</v>
      </c>
      <c r="S3" s="132" t="s">
        <v>38</v>
      </c>
      <c r="T3" s="224"/>
      <c r="U3" s="224"/>
      <c r="V3" s="224"/>
    </row>
    <row r="4" spans="1:25" ht="13.5" customHeight="1" x14ac:dyDescent="0.65">
      <c r="A4" s="215"/>
      <c r="B4" s="13"/>
      <c r="C4" s="212"/>
      <c r="D4" s="224"/>
      <c r="E4" s="224"/>
      <c r="F4" s="137">
        <v>2023</v>
      </c>
      <c r="G4" s="137">
        <v>2024</v>
      </c>
      <c r="H4" s="137">
        <v>2025</v>
      </c>
      <c r="I4" s="137">
        <v>2026</v>
      </c>
      <c r="J4" s="137">
        <v>2027</v>
      </c>
      <c r="K4" s="135">
        <v>2023</v>
      </c>
      <c r="L4" s="135">
        <v>2024</v>
      </c>
      <c r="M4" s="135">
        <v>2025</v>
      </c>
      <c r="N4" s="135">
        <v>2026</v>
      </c>
      <c r="O4" s="135">
        <v>2027</v>
      </c>
      <c r="P4" s="219"/>
      <c r="Q4" s="219"/>
      <c r="R4" s="219"/>
      <c r="S4" s="231"/>
      <c r="T4" s="224"/>
      <c r="U4" s="224"/>
      <c r="V4" s="224"/>
    </row>
    <row r="5" spans="1:25" ht="9" customHeight="1" x14ac:dyDescent="0.65">
      <c r="A5" s="215"/>
      <c r="B5" s="13"/>
      <c r="C5" s="213"/>
      <c r="D5" s="213"/>
      <c r="E5" s="213"/>
      <c r="F5" s="137"/>
      <c r="G5" s="137"/>
      <c r="H5" s="137"/>
      <c r="I5" s="137"/>
      <c r="J5" s="137"/>
      <c r="K5" s="135"/>
      <c r="L5" s="135"/>
      <c r="M5" s="135"/>
      <c r="N5" s="135"/>
      <c r="O5" s="135"/>
      <c r="P5" s="220"/>
      <c r="Q5" s="220"/>
      <c r="R5" s="220"/>
      <c r="S5" s="213"/>
      <c r="T5" s="213"/>
      <c r="U5" s="213"/>
      <c r="V5" s="213"/>
    </row>
    <row r="6" spans="1:25" ht="13.5" customHeight="1" x14ac:dyDescent="0.75">
      <c r="A6" s="216"/>
      <c r="B6" s="13"/>
      <c r="C6" s="222" t="s">
        <v>39</v>
      </c>
      <c r="D6" s="210"/>
      <c r="E6" s="210"/>
      <c r="F6" s="210"/>
      <c r="G6" s="210"/>
      <c r="H6" s="210"/>
      <c r="I6" s="210"/>
      <c r="J6" s="210"/>
      <c r="K6" s="210"/>
      <c r="L6" s="210"/>
      <c r="M6" s="210"/>
      <c r="N6" s="210"/>
      <c r="O6" s="210"/>
      <c r="P6" s="210"/>
      <c r="Q6" s="210"/>
      <c r="R6" s="210"/>
      <c r="S6" s="210"/>
      <c r="T6" s="210"/>
      <c r="U6" s="210"/>
      <c r="V6" s="211"/>
    </row>
    <row r="7" spans="1:25" ht="13.5" customHeight="1" x14ac:dyDescent="0.75">
      <c r="A7" s="14"/>
      <c r="B7" s="15">
        <v>1</v>
      </c>
      <c r="C7" s="233" t="s">
        <v>40</v>
      </c>
      <c r="D7" s="210"/>
      <c r="E7" s="210"/>
      <c r="F7" s="210"/>
      <c r="G7" s="210"/>
      <c r="H7" s="210"/>
      <c r="I7" s="210"/>
      <c r="J7" s="210"/>
      <c r="K7" s="210"/>
      <c r="L7" s="210"/>
      <c r="M7" s="210"/>
      <c r="N7" s="210"/>
      <c r="O7" s="210"/>
      <c r="P7" s="210"/>
      <c r="Q7" s="210"/>
      <c r="R7" s="210"/>
      <c r="S7" s="210"/>
      <c r="T7" s="210"/>
      <c r="U7" s="210"/>
      <c r="V7" s="211"/>
    </row>
    <row r="8" spans="1:25" ht="36" customHeight="1" x14ac:dyDescent="0.65">
      <c r="A8" s="13">
        <v>1</v>
      </c>
      <c r="B8" s="16" t="s">
        <v>41</v>
      </c>
      <c r="C8" s="17" t="s">
        <v>42</v>
      </c>
      <c r="D8" s="18" t="s">
        <v>37</v>
      </c>
      <c r="E8" s="99">
        <v>0.26</v>
      </c>
      <c r="F8" s="18">
        <v>0</v>
      </c>
      <c r="G8" s="96">
        <v>0.05</v>
      </c>
      <c r="H8" s="20">
        <v>0.1</v>
      </c>
      <c r="I8" s="20">
        <v>0.36</v>
      </c>
      <c r="J8" s="20">
        <v>0.3</v>
      </c>
      <c r="K8" s="19"/>
      <c r="L8" s="96">
        <v>0</v>
      </c>
      <c r="M8" s="21">
        <v>0</v>
      </c>
      <c r="N8" s="20">
        <v>0.7</v>
      </c>
      <c r="O8" s="19"/>
      <c r="P8" s="100">
        <v>0.66</v>
      </c>
      <c r="Q8" s="101" t="str">
        <f>IFERROR((O8-K8)/K8,"")</f>
        <v/>
      </c>
      <c r="R8" s="100" t="str">
        <f>IFERROR(Q8/P8,"")</f>
        <v/>
      </c>
      <c r="S8" s="18" t="s">
        <v>43</v>
      </c>
      <c r="T8" s="18" t="s">
        <v>44</v>
      </c>
      <c r="U8" s="18" t="s">
        <v>45</v>
      </c>
      <c r="V8" s="17" t="s">
        <v>46</v>
      </c>
    </row>
    <row r="9" spans="1:25" ht="13.5" customHeight="1" x14ac:dyDescent="0.75">
      <c r="A9" s="13"/>
      <c r="B9" s="22">
        <v>2</v>
      </c>
      <c r="C9" s="221" t="s">
        <v>47</v>
      </c>
      <c r="D9" s="210"/>
      <c r="E9" s="210"/>
      <c r="F9" s="210"/>
      <c r="G9" s="210"/>
      <c r="H9" s="210"/>
      <c r="I9" s="210"/>
      <c r="J9" s="210"/>
      <c r="K9" s="210"/>
      <c r="L9" s="210"/>
      <c r="M9" s="210"/>
      <c r="N9" s="210"/>
      <c r="O9" s="210"/>
      <c r="P9" s="210"/>
      <c r="Q9" s="210"/>
      <c r="R9" s="210"/>
      <c r="S9" s="210"/>
      <c r="T9" s="210"/>
      <c r="U9" s="210"/>
      <c r="V9" s="211"/>
    </row>
    <row r="10" spans="1:25" s="27" customFormat="1" ht="27" customHeight="1" x14ac:dyDescent="0.75">
      <c r="A10" s="23">
        <v>2</v>
      </c>
      <c r="B10" s="24" t="s">
        <v>48</v>
      </c>
      <c r="C10" s="25" t="s">
        <v>49</v>
      </c>
      <c r="D10" s="26" t="s">
        <v>50</v>
      </c>
      <c r="E10" s="26">
        <v>0</v>
      </c>
      <c r="F10" s="102">
        <v>0</v>
      </c>
      <c r="G10" s="103">
        <v>6000</v>
      </c>
      <c r="H10" s="104">
        <v>36000</v>
      </c>
      <c r="I10" s="104">
        <v>30000</v>
      </c>
      <c r="J10" s="104">
        <v>18000</v>
      </c>
      <c r="K10" s="102"/>
      <c r="L10" s="103">
        <v>9160</v>
      </c>
      <c r="M10" s="103">
        <v>36026</v>
      </c>
      <c r="N10" s="103"/>
      <c r="O10" s="102"/>
      <c r="P10" s="103">
        <v>300000</v>
      </c>
      <c r="Q10" s="103">
        <f>O10</f>
        <v>0</v>
      </c>
      <c r="R10" s="105">
        <f>IFERROR(Q10/P10,"")</f>
        <v>0</v>
      </c>
      <c r="S10" s="25" t="s">
        <v>43</v>
      </c>
      <c r="T10" s="25" t="s">
        <v>44</v>
      </c>
      <c r="U10" s="25" t="s">
        <v>51</v>
      </c>
      <c r="V10" s="25" t="s">
        <v>46</v>
      </c>
      <c r="W10" s="7"/>
      <c r="X10" s="7"/>
      <c r="Y10" s="7"/>
    </row>
    <row r="11" spans="1:25" s="27" customFormat="1" ht="27" customHeight="1" x14ac:dyDescent="0.75">
      <c r="A11" s="23">
        <v>3</v>
      </c>
      <c r="B11" s="24" t="s">
        <v>52</v>
      </c>
      <c r="C11" s="25" t="s">
        <v>53</v>
      </c>
      <c r="D11" s="26" t="s">
        <v>50</v>
      </c>
      <c r="E11" s="26">
        <v>0</v>
      </c>
      <c r="F11" s="102">
        <v>0</v>
      </c>
      <c r="G11" s="103">
        <v>6000</v>
      </c>
      <c r="H11" s="104">
        <v>36000</v>
      </c>
      <c r="I11" s="104">
        <v>30000</v>
      </c>
      <c r="J11" s="104">
        <v>18000</v>
      </c>
      <c r="K11" s="102"/>
      <c r="L11" s="103">
        <v>5527</v>
      </c>
      <c r="M11" s="103">
        <v>22697</v>
      </c>
      <c r="N11" s="103"/>
      <c r="O11" s="102"/>
      <c r="P11" s="103">
        <v>150000</v>
      </c>
      <c r="Q11" s="103">
        <f>O11</f>
        <v>0</v>
      </c>
      <c r="R11" s="105">
        <f>IFERROR(Q11/P11,"")</f>
        <v>0</v>
      </c>
      <c r="S11" s="25" t="s">
        <v>43</v>
      </c>
      <c r="T11" s="25" t="s">
        <v>44</v>
      </c>
      <c r="U11" s="25" t="s">
        <v>51</v>
      </c>
      <c r="V11" s="25" t="s">
        <v>46</v>
      </c>
      <c r="W11" s="7"/>
      <c r="X11" s="7"/>
      <c r="Y11" s="7"/>
    </row>
    <row r="12" spans="1:25" s="28" customFormat="1" ht="36.75" customHeight="1" x14ac:dyDescent="0.75">
      <c r="A12" s="13">
        <v>4</v>
      </c>
      <c r="B12" s="16" t="s">
        <v>54</v>
      </c>
      <c r="C12" s="17" t="s">
        <v>55</v>
      </c>
      <c r="D12" s="18" t="s">
        <v>37</v>
      </c>
      <c r="E12" s="18">
        <v>0.5</v>
      </c>
      <c r="F12" s="17">
        <v>0</v>
      </c>
      <c r="G12" s="96">
        <v>0.3</v>
      </c>
      <c r="H12" s="20">
        <v>0.6</v>
      </c>
      <c r="I12" s="18">
        <v>80</v>
      </c>
      <c r="J12" s="18">
        <v>100</v>
      </c>
      <c r="K12" s="17"/>
      <c r="L12" s="96">
        <v>0.2</v>
      </c>
      <c r="M12" s="96">
        <v>0.5</v>
      </c>
      <c r="N12" s="17">
        <v>0</v>
      </c>
      <c r="O12" s="17"/>
      <c r="P12" s="102">
        <f>J12</f>
        <v>100</v>
      </c>
      <c r="Q12" s="105" t="str">
        <f>IFERROR((O12-K12)/K12,"")</f>
        <v/>
      </c>
      <c r="R12" s="105" t="str">
        <f>IFERROR(Q12/P12,"")</f>
        <v/>
      </c>
      <c r="S12" s="17" t="s">
        <v>43</v>
      </c>
      <c r="T12" s="17" t="s">
        <v>44</v>
      </c>
      <c r="U12" s="17" t="s">
        <v>56</v>
      </c>
      <c r="V12" s="17" t="s">
        <v>46</v>
      </c>
    </row>
    <row r="13" spans="1:25" s="28" customFormat="1" ht="27" customHeight="1" x14ac:dyDescent="0.75">
      <c r="A13" s="13">
        <v>5</v>
      </c>
      <c r="B13" s="16" t="s">
        <v>57</v>
      </c>
      <c r="C13" s="17" t="s">
        <v>58</v>
      </c>
      <c r="D13" s="18" t="s">
        <v>37</v>
      </c>
      <c r="E13" s="18">
        <v>0</v>
      </c>
      <c r="F13" s="17">
        <v>0</v>
      </c>
      <c r="G13" s="17">
        <v>0</v>
      </c>
      <c r="H13" s="18">
        <v>25</v>
      </c>
      <c r="I13" s="18">
        <v>40</v>
      </c>
      <c r="J13" s="18">
        <v>50</v>
      </c>
      <c r="K13" s="17"/>
      <c r="L13" s="17">
        <v>0</v>
      </c>
      <c r="M13" s="17"/>
      <c r="N13" s="17">
        <v>0</v>
      </c>
      <c r="O13" s="17"/>
      <c r="P13" s="102">
        <f>J13</f>
        <v>50</v>
      </c>
      <c r="Q13" s="103" t="str">
        <f>IFERROR((O13-K13)/K13,"")</f>
        <v/>
      </c>
      <c r="R13" s="105" t="str">
        <f>IFERROR(Q13/P13,"")</f>
        <v/>
      </c>
      <c r="S13" s="17" t="s">
        <v>43</v>
      </c>
      <c r="T13" s="17" t="s">
        <v>44</v>
      </c>
      <c r="U13" s="17" t="s">
        <v>56</v>
      </c>
      <c r="V13" s="17" t="s">
        <v>46</v>
      </c>
    </row>
    <row r="14" spans="1:25" s="28" customFormat="1" ht="27" customHeight="1" x14ac:dyDescent="0.75">
      <c r="A14" s="13">
        <v>6</v>
      </c>
      <c r="B14" s="16" t="s">
        <v>59</v>
      </c>
      <c r="C14" s="17" t="s">
        <v>60</v>
      </c>
      <c r="D14" s="18" t="s">
        <v>37</v>
      </c>
      <c r="E14" s="18">
        <v>0</v>
      </c>
      <c r="F14" s="17">
        <v>0</v>
      </c>
      <c r="G14" s="17">
        <v>20</v>
      </c>
      <c r="H14" s="18">
        <v>30</v>
      </c>
      <c r="I14" s="18">
        <v>40</v>
      </c>
      <c r="J14" s="18">
        <v>50</v>
      </c>
      <c r="K14" s="17"/>
      <c r="L14" s="17">
        <v>0</v>
      </c>
      <c r="M14" s="17"/>
      <c r="N14" s="17"/>
      <c r="O14" s="17"/>
      <c r="P14" s="102">
        <f>J14</f>
        <v>50</v>
      </c>
      <c r="Q14" s="103" t="str">
        <f>IFERROR(1-(K14/O14),"")</f>
        <v/>
      </c>
      <c r="R14" s="105" t="str">
        <f>IFERROR(Q14/P14,"")</f>
        <v/>
      </c>
      <c r="S14" s="17" t="s">
        <v>43</v>
      </c>
      <c r="T14" s="17" t="s">
        <v>44</v>
      </c>
      <c r="U14" s="17" t="s">
        <v>56</v>
      </c>
      <c r="V14" s="17" t="s">
        <v>46</v>
      </c>
    </row>
    <row r="15" spans="1:25" s="28" customFormat="1" ht="17.25" customHeight="1" x14ac:dyDescent="0.75">
      <c r="A15" s="13"/>
      <c r="B15" s="15">
        <v>3</v>
      </c>
      <c r="C15" s="221" t="s">
        <v>61</v>
      </c>
      <c r="D15" s="210"/>
      <c r="E15" s="210"/>
      <c r="F15" s="210"/>
      <c r="G15" s="210"/>
      <c r="H15" s="210"/>
      <c r="I15" s="210"/>
      <c r="J15" s="210"/>
      <c r="K15" s="210"/>
      <c r="L15" s="210"/>
      <c r="M15" s="210"/>
      <c r="N15" s="210"/>
      <c r="O15" s="210"/>
      <c r="P15" s="210"/>
      <c r="Q15" s="210"/>
      <c r="R15" s="210"/>
      <c r="S15" s="210"/>
      <c r="T15" s="210"/>
      <c r="U15" s="210"/>
      <c r="V15" s="211"/>
    </row>
    <row r="16" spans="1:25" s="29" customFormat="1" ht="26.25" customHeight="1" x14ac:dyDescent="0.75">
      <c r="A16" s="23">
        <v>7</v>
      </c>
      <c r="B16" s="24" t="s">
        <v>62</v>
      </c>
      <c r="C16" s="25" t="s">
        <v>63</v>
      </c>
      <c r="D16" s="26" t="s">
        <v>50</v>
      </c>
      <c r="E16" s="25">
        <v>0</v>
      </c>
      <c r="F16" s="102">
        <v>2</v>
      </c>
      <c r="G16" s="102">
        <v>2</v>
      </c>
      <c r="H16" s="102">
        <v>2</v>
      </c>
      <c r="I16" s="102">
        <v>2</v>
      </c>
      <c r="J16" s="102">
        <v>2</v>
      </c>
      <c r="K16" s="106">
        <v>1</v>
      </c>
      <c r="L16" s="102"/>
      <c r="M16" s="102"/>
      <c r="N16" s="102"/>
      <c r="O16" s="102"/>
      <c r="P16" s="102">
        <v>6</v>
      </c>
      <c r="Q16" s="103">
        <f>O16</f>
        <v>0</v>
      </c>
      <c r="R16" s="105">
        <f>IFERROR(Q16/P16,"")</f>
        <v>0</v>
      </c>
      <c r="S16" s="25" t="s">
        <v>43</v>
      </c>
      <c r="T16" s="25" t="s">
        <v>64</v>
      </c>
      <c r="U16" s="25" t="s">
        <v>65</v>
      </c>
      <c r="V16" s="25" t="s">
        <v>46</v>
      </c>
      <c r="W16" s="7"/>
      <c r="X16" s="7"/>
      <c r="Y16" s="7"/>
    </row>
    <row r="17" spans="1:25" s="28" customFormat="1" ht="13.5" customHeight="1" x14ac:dyDescent="0.75">
      <c r="A17" s="13"/>
      <c r="B17" s="13"/>
      <c r="C17" s="222" t="s">
        <v>66</v>
      </c>
      <c r="D17" s="210"/>
      <c r="E17" s="210"/>
      <c r="F17" s="210"/>
      <c r="G17" s="210"/>
      <c r="H17" s="210"/>
      <c r="I17" s="210"/>
      <c r="J17" s="210"/>
      <c r="K17" s="210"/>
      <c r="L17" s="210"/>
      <c r="M17" s="210"/>
      <c r="N17" s="210"/>
      <c r="O17" s="210"/>
      <c r="P17" s="210"/>
      <c r="Q17" s="210"/>
      <c r="R17" s="210"/>
      <c r="S17" s="210"/>
      <c r="T17" s="210"/>
      <c r="U17" s="210"/>
      <c r="V17" s="211"/>
    </row>
    <row r="18" spans="1:25" s="28" customFormat="1" ht="13.5" customHeight="1" x14ac:dyDescent="0.75">
      <c r="A18" s="13"/>
      <c r="B18" s="13"/>
      <c r="C18" s="209" t="s">
        <v>67</v>
      </c>
      <c r="D18" s="210"/>
      <c r="E18" s="210"/>
      <c r="F18" s="210"/>
      <c r="G18" s="210"/>
      <c r="H18" s="210"/>
      <c r="I18" s="210"/>
      <c r="J18" s="210"/>
      <c r="K18" s="210"/>
      <c r="L18" s="210"/>
      <c r="M18" s="210"/>
      <c r="N18" s="210"/>
      <c r="O18" s="210"/>
      <c r="P18" s="210"/>
      <c r="Q18" s="210"/>
      <c r="R18" s="210"/>
      <c r="S18" s="210"/>
      <c r="T18" s="210"/>
      <c r="U18" s="210"/>
      <c r="V18" s="211"/>
    </row>
    <row r="19" spans="1:25" s="28" customFormat="1" ht="13.5" customHeight="1" x14ac:dyDescent="0.75">
      <c r="A19" s="13"/>
      <c r="B19" s="13" t="s">
        <v>10</v>
      </c>
      <c r="C19" s="217" t="s">
        <v>68</v>
      </c>
      <c r="D19" s="210"/>
      <c r="E19" s="210"/>
      <c r="F19" s="210"/>
      <c r="G19" s="210"/>
      <c r="H19" s="210"/>
      <c r="I19" s="210"/>
      <c r="J19" s="210"/>
      <c r="K19" s="210"/>
      <c r="L19" s="210"/>
      <c r="M19" s="210"/>
      <c r="N19" s="210"/>
      <c r="O19" s="210"/>
      <c r="P19" s="210"/>
      <c r="Q19" s="210"/>
      <c r="R19" s="210"/>
      <c r="S19" s="210"/>
      <c r="T19" s="210"/>
      <c r="U19" s="210"/>
      <c r="V19" s="211"/>
    </row>
    <row r="20" spans="1:25" s="33" customFormat="1" ht="38.25" customHeight="1" x14ac:dyDescent="0.75">
      <c r="A20" s="30">
        <v>1</v>
      </c>
      <c r="B20" s="31" t="s">
        <v>69</v>
      </c>
      <c r="C20" s="32" t="s">
        <v>70</v>
      </c>
      <c r="D20" s="26" t="s">
        <v>50</v>
      </c>
      <c r="E20" s="26">
        <v>0</v>
      </c>
      <c r="F20" s="107">
        <v>0</v>
      </c>
      <c r="G20" s="104">
        <v>6000</v>
      </c>
      <c r="H20" s="104">
        <v>36000</v>
      </c>
      <c r="I20" s="104">
        <v>30000</v>
      </c>
      <c r="J20" s="104">
        <v>18000</v>
      </c>
      <c r="K20" s="107"/>
      <c r="L20" s="103">
        <v>9160</v>
      </c>
      <c r="M20" s="103">
        <v>36026</v>
      </c>
      <c r="N20" s="104"/>
      <c r="O20" s="107"/>
      <c r="P20" s="104">
        <v>300000</v>
      </c>
      <c r="Q20" s="104">
        <f t="shared" ref="Q20:Q28" si="0">SUM(K20:O20)</f>
        <v>45186</v>
      </c>
      <c r="R20" s="108">
        <f t="shared" ref="R20:R28" si="1">IFERROR(Q20/P20,"")</f>
        <v>0.15062</v>
      </c>
      <c r="S20" s="26" t="s">
        <v>71</v>
      </c>
      <c r="T20" s="26" t="s">
        <v>44</v>
      </c>
      <c r="U20" s="26" t="s">
        <v>72</v>
      </c>
      <c r="V20" s="26" t="s">
        <v>46</v>
      </c>
      <c r="W20" s="7"/>
      <c r="X20" s="7"/>
      <c r="Y20" s="7"/>
    </row>
    <row r="21" spans="1:25" s="33" customFormat="1" ht="28.5" customHeight="1" x14ac:dyDescent="0.75">
      <c r="A21" s="30">
        <v>2</v>
      </c>
      <c r="B21" s="31" t="s">
        <v>73</v>
      </c>
      <c r="C21" s="34" t="s">
        <v>74</v>
      </c>
      <c r="D21" s="26" t="s">
        <v>50</v>
      </c>
      <c r="E21" s="26">
        <v>0</v>
      </c>
      <c r="F21" s="107">
        <v>0</v>
      </c>
      <c r="G21" s="104">
        <v>3000</v>
      </c>
      <c r="H21" s="104">
        <v>18000</v>
      </c>
      <c r="I21" s="104">
        <v>15000</v>
      </c>
      <c r="J21" s="104">
        <v>9000</v>
      </c>
      <c r="K21" s="107"/>
      <c r="L21" s="103">
        <v>5527</v>
      </c>
      <c r="M21" s="103">
        <v>22697</v>
      </c>
      <c r="N21" s="104"/>
      <c r="O21" s="107"/>
      <c r="P21" s="104">
        <v>150000</v>
      </c>
      <c r="Q21" s="104">
        <f t="shared" si="0"/>
        <v>28224</v>
      </c>
      <c r="R21" s="108">
        <f t="shared" si="1"/>
        <v>0.18815999999999999</v>
      </c>
      <c r="S21" s="26" t="s">
        <v>71</v>
      </c>
      <c r="T21" s="26" t="s">
        <v>44</v>
      </c>
      <c r="U21" s="26" t="s">
        <v>72</v>
      </c>
      <c r="V21" s="26" t="s">
        <v>46</v>
      </c>
      <c r="W21" s="7"/>
      <c r="X21" s="7"/>
      <c r="Y21" s="7"/>
    </row>
    <row r="22" spans="1:25" s="98" customFormat="1" ht="30.75" customHeight="1" x14ac:dyDescent="0.75">
      <c r="A22" s="97">
        <v>3</v>
      </c>
      <c r="B22" s="93" t="s">
        <v>75</v>
      </c>
      <c r="C22" s="19" t="s">
        <v>76</v>
      </c>
      <c r="D22" s="18" t="s">
        <v>50</v>
      </c>
      <c r="E22" s="18">
        <v>4</v>
      </c>
      <c r="F22" s="18">
        <v>4</v>
      </c>
      <c r="G22" s="35">
        <v>8</v>
      </c>
      <c r="H22" s="35">
        <v>10</v>
      </c>
      <c r="I22" s="35">
        <v>15</v>
      </c>
      <c r="J22" s="18">
        <v>20</v>
      </c>
      <c r="K22" s="18">
        <v>4</v>
      </c>
      <c r="L22" s="95">
        <v>16</v>
      </c>
      <c r="M22" s="95">
        <v>29</v>
      </c>
      <c r="N22" s="18"/>
      <c r="O22" s="18"/>
      <c r="P22" s="107">
        <v>25</v>
      </c>
      <c r="Q22" s="104">
        <f t="shared" si="0"/>
        <v>49</v>
      </c>
      <c r="R22" s="108">
        <f t="shared" si="1"/>
        <v>1.96</v>
      </c>
      <c r="S22" s="18" t="s">
        <v>71</v>
      </c>
      <c r="T22" s="18" t="s">
        <v>44</v>
      </c>
      <c r="U22" s="18" t="s">
        <v>77</v>
      </c>
      <c r="V22" s="18" t="s">
        <v>46</v>
      </c>
    </row>
    <row r="23" spans="1:25" ht="33" customHeight="1" x14ac:dyDescent="0.65">
      <c r="A23" s="97">
        <v>4</v>
      </c>
      <c r="B23" s="93" t="s">
        <v>78</v>
      </c>
      <c r="C23" s="19" t="s">
        <v>79</v>
      </c>
      <c r="D23" s="18" t="s">
        <v>50</v>
      </c>
      <c r="E23" s="18">
        <v>0</v>
      </c>
      <c r="F23" s="18">
        <v>0</v>
      </c>
      <c r="G23" s="35">
        <v>6000</v>
      </c>
      <c r="H23" s="35">
        <v>36000</v>
      </c>
      <c r="I23" s="35">
        <v>30000</v>
      </c>
      <c r="J23" s="35">
        <v>18000</v>
      </c>
      <c r="K23" s="18">
        <v>0</v>
      </c>
      <c r="L23" s="95">
        <v>9675</v>
      </c>
      <c r="M23" s="95">
        <v>65615</v>
      </c>
      <c r="N23" s="35"/>
      <c r="O23" s="18"/>
      <c r="P23" s="104">
        <v>300000</v>
      </c>
      <c r="Q23" s="104">
        <f t="shared" si="0"/>
        <v>75290</v>
      </c>
      <c r="R23" s="108">
        <f t="shared" si="1"/>
        <v>0.25096666666666667</v>
      </c>
      <c r="S23" s="18" t="s">
        <v>71</v>
      </c>
      <c r="T23" s="18" t="s">
        <v>80</v>
      </c>
      <c r="U23" s="18" t="s">
        <v>51</v>
      </c>
      <c r="V23" s="18" t="s">
        <v>46</v>
      </c>
    </row>
    <row r="24" spans="1:25" ht="30.75" customHeight="1" x14ac:dyDescent="0.65">
      <c r="A24" s="97">
        <v>5</v>
      </c>
      <c r="B24" s="93" t="s">
        <v>81</v>
      </c>
      <c r="C24" s="94" t="s">
        <v>82</v>
      </c>
      <c r="D24" s="18" t="s">
        <v>50</v>
      </c>
      <c r="E24" s="18"/>
      <c r="F24" s="18">
        <v>0</v>
      </c>
      <c r="G24" s="35">
        <v>3000</v>
      </c>
      <c r="H24" s="35">
        <v>18000</v>
      </c>
      <c r="I24" s="35">
        <v>15000</v>
      </c>
      <c r="J24" s="35">
        <v>9000</v>
      </c>
      <c r="K24" s="18">
        <v>0</v>
      </c>
      <c r="L24" s="17">
        <v>5620</v>
      </c>
      <c r="M24" s="17">
        <v>40026</v>
      </c>
      <c r="N24" s="18"/>
      <c r="O24" s="18"/>
      <c r="P24" s="104">
        <v>150000</v>
      </c>
      <c r="Q24" s="104">
        <f t="shared" si="0"/>
        <v>45646</v>
      </c>
      <c r="R24" s="108">
        <f t="shared" si="1"/>
        <v>0.30430666666666667</v>
      </c>
      <c r="S24" s="18" t="s">
        <v>71</v>
      </c>
      <c r="T24" s="18" t="s">
        <v>80</v>
      </c>
      <c r="U24" s="18" t="s">
        <v>51</v>
      </c>
      <c r="V24" s="18" t="s">
        <v>46</v>
      </c>
    </row>
    <row r="25" spans="1:25" s="29" customFormat="1" ht="25.5" customHeight="1" x14ac:dyDescent="0.75">
      <c r="A25" s="30">
        <v>6</v>
      </c>
      <c r="B25" s="31" t="s">
        <v>83</v>
      </c>
      <c r="C25" s="32" t="s">
        <v>84</v>
      </c>
      <c r="D25" s="26" t="s">
        <v>85</v>
      </c>
      <c r="E25" s="26">
        <v>0</v>
      </c>
      <c r="F25" s="107">
        <v>0</v>
      </c>
      <c r="G25" s="104">
        <v>3000</v>
      </c>
      <c r="H25" s="104">
        <v>18000</v>
      </c>
      <c r="I25" s="104">
        <v>15000</v>
      </c>
      <c r="J25" s="104">
        <v>9000</v>
      </c>
      <c r="K25" s="107">
        <v>0</v>
      </c>
      <c r="L25" s="104">
        <v>4580</v>
      </c>
      <c r="M25" s="103">
        <v>18013</v>
      </c>
      <c r="N25" s="104"/>
      <c r="O25" s="107"/>
      <c r="P25" s="104">
        <v>150000</v>
      </c>
      <c r="Q25" s="104">
        <f t="shared" si="0"/>
        <v>22593</v>
      </c>
      <c r="R25" s="108">
        <f t="shared" si="1"/>
        <v>0.15062</v>
      </c>
      <c r="S25" s="26" t="s">
        <v>43</v>
      </c>
      <c r="T25" s="26" t="s">
        <v>86</v>
      </c>
      <c r="U25" s="26" t="s">
        <v>87</v>
      </c>
      <c r="V25" s="26" t="s">
        <v>46</v>
      </c>
      <c r="W25" s="7"/>
      <c r="X25" s="7"/>
      <c r="Y25" s="7"/>
    </row>
    <row r="26" spans="1:25" ht="12.75" customHeight="1" x14ac:dyDescent="0.65">
      <c r="A26" s="97">
        <v>7</v>
      </c>
      <c r="B26" s="93" t="s">
        <v>88</v>
      </c>
      <c r="C26" s="19" t="s">
        <v>89</v>
      </c>
      <c r="D26" s="18" t="s">
        <v>50</v>
      </c>
      <c r="E26" s="18">
        <v>0</v>
      </c>
      <c r="F26" s="18"/>
      <c r="G26" s="35"/>
      <c r="H26" s="35"/>
      <c r="I26" s="35"/>
      <c r="J26" s="35"/>
      <c r="K26" s="18"/>
      <c r="L26" s="35"/>
      <c r="M26" s="95"/>
      <c r="N26" s="35"/>
      <c r="O26" s="18"/>
      <c r="P26" s="104">
        <v>4</v>
      </c>
      <c r="Q26" s="104">
        <f t="shared" si="0"/>
        <v>0</v>
      </c>
      <c r="R26" s="107">
        <f t="shared" si="1"/>
        <v>0</v>
      </c>
      <c r="S26" s="18"/>
      <c r="T26" s="18"/>
      <c r="U26" s="18"/>
      <c r="V26" s="18"/>
    </row>
    <row r="27" spans="1:25" s="29" customFormat="1" ht="26.25" customHeight="1" x14ac:dyDescent="0.75">
      <c r="A27" s="23">
        <v>8</v>
      </c>
      <c r="B27" s="24" t="s">
        <v>90</v>
      </c>
      <c r="C27" s="25" t="s">
        <v>91</v>
      </c>
      <c r="D27" s="26" t="s">
        <v>50</v>
      </c>
      <c r="E27" s="25">
        <v>0</v>
      </c>
      <c r="F27" s="102"/>
      <c r="G27" s="109">
        <v>6000</v>
      </c>
      <c r="H27" s="110">
        <v>36000</v>
      </c>
      <c r="I27" s="110">
        <v>30000</v>
      </c>
      <c r="J27" s="103">
        <v>18000</v>
      </c>
      <c r="K27" s="102"/>
      <c r="L27" s="102">
        <v>9160</v>
      </c>
      <c r="M27" s="103">
        <v>36026</v>
      </c>
      <c r="N27" s="102"/>
      <c r="O27" s="102"/>
      <c r="P27" s="103">
        <v>600000</v>
      </c>
      <c r="Q27" s="104">
        <f t="shared" si="0"/>
        <v>45186</v>
      </c>
      <c r="R27" s="105">
        <f t="shared" si="1"/>
        <v>7.5310000000000002E-2</v>
      </c>
      <c r="S27" s="25"/>
      <c r="T27" s="25"/>
      <c r="U27" s="25"/>
      <c r="V27" s="25"/>
      <c r="W27" s="7"/>
      <c r="X27" s="7"/>
      <c r="Y27" s="7"/>
    </row>
    <row r="28" spans="1:25" s="29" customFormat="1" ht="26.25" customHeight="1" x14ac:dyDescent="0.75">
      <c r="A28" s="23">
        <v>8</v>
      </c>
      <c r="B28" s="24" t="s">
        <v>92</v>
      </c>
      <c r="C28" s="34" t="s">
        <v>93</v>
      </c>
      <c r="D28" s="26" t="s">
        <v>50</v>
      </c>
      <c r="E28" s="25"/>
      <c r="F28" s="102"/>
      <c r="G28" s="109">
        <v>3000</v>
      </c>
      <c r="H28" s="110">
        <v>18000</v>
      </c>
      <c r="I28" s="110">
        <v>15000</v>
      </c>
      <c r="J28" s="103">
        <v>9000</v>
      </c>
      <c r="K28" s="102"/>
      <c r="L28" s="103">
        <v>5527</v>
      </c>
      <c r="M28" s="103">
        <v>22697</v>
      </c>
      <c r="N28" s="111"/>
      <c r="O28" s="102"/>
      <c r="P28" s="103">
        <v>300000</v>
      </c>
      <c r="Q28" s="104">
        <f t="shared" si="0"/>
        <v>28224</v>
      </c>
      <c r="R28" s="105">
        <f t="shared" si="1"/>
        <v>9.4079999999999997E-2</v>
      </c>
      <c r="S28" s="25"/>
      <c r="T28" s="25"/>
      <c r="U28" s="25"/>
      <c r="V28" s="25"/>
      <c r="W28" s="7"/>
      <c r="X28" s="7"/>
      <c r="Y28" s="7"/>
    </row>
    <row r="29" spans="1:25" s="10" customFormat="1" ht="15" customHeight="1" x14ac:dyDescent="0.75">
      <c r="A29" s="13"/>
      <c r="B29" s="13"/>
      <c r="C29" s="209" t="s">
        <v>94</v>
      </c>
      <c r="D29" s="210"/>
      <c r="E29" s="210"/>
      <c r="F29" s="210"/>
      <c r="G29" s="210"/>
      <c r="H29" s="210"/>
      <c r="I29" s="210"/>
      <c r="J29" s="210"/>
      <c r="K29" s="210"/>
      <c r="L29" s="210"/>
      <c r="M29" s="210"/>
      <c r="N29" s="210"/>
      <c r="O29" s="210"/>
      <c r="P29" s="210"/>
      <c r="Q29" s="210"/>
      <c r="R29" s="210"/>
      <c r="S29" s="210"/>
      <c r="T29" s="210"/>
      <c r="U29" s="210"/>
      <c r="V29" s="211"/>
    </row>
    <row r="30" spans="1:25" ht="14.25" customHeight="1" x14ac:dyDescent="0.75">
      <c r="A30" s="13"/>
      <c r="B30" s="13" t="s">
        <v>14</v>
      </c>
      <c r="C30" s="217" t="s">
        <v>95</v>
      </c>
      <c r="D30" s="210"/>
      <c r="E30" s="210"/>
      <c r="F30" s="210"/>
      <c r="G30" s="210"/>
      <c r="H30" s="210"/>
      <c r="I30" s="210"/>
      <c r="J30" s="210"/>
      <c r="K30" s="210"/>
      <c r="L30" s="210"/>
      <c r="M30" s="210"/>
      <c r="N30" s="210"/>
      <c r="O30" s="210"/>
      <c r="P30" s="210"/>
      <c r="Q30" s="210"/>
      <c r="R30" s="210"/>
      <c r="S30" s="210"/>
      <c r="T30" s="210"/>
      <c r="U30" s="210"/>
      <c r="V30" s="211"/>
    </row>
    <row r="31" spans="1:25" ht="17.25" customHeight="1" x14ac:dyDescent="0.65">
      <c r="A31" s="13">
        <v>9</v>
      </c>
      <c r="B31" s="16" t="s">
        <v>96</v>
      </c>
      <c r="C31" s="19" t="s">
        <v>97</v>
      </c>
      <c r="D31" s="18" t="s">
        <v>98</v>
      </c>
      <c r="E31" s="18">
        <v>0</v>
      </c>
      <c r="F31" s="18">
        <v>0</v>
      </c>
      <c r="G31" s="18">
        <v>0</v>
      </c>
      <c r="H31" s="18">
        <v>60</v>
      </c>
      <c r="I31" s="18">
        <v>360</v>
      </c>
      <c r="J31" s="18">
        <v>300</v>
      </c>
      <c r="K31" s="18"/>
      <c r="L31" s="18">
        <v>0</v>
      </c>
      <c r="M31" s="18">
        <v>0</v>
      </c>
      <c r="N31" s="35"/>
      <c r="O31" s="19"/>
      <c r="P31" s="112">
        <v>400</v>
      </c>
      <c r="Q31" s="101">
        <f>O31</f>
        <v>0</v>
      </c>
      <c r="R31" s="100">
        <f>IFERROR(Q31/P31,"")</f>
        <v>0</v>
      </c>
      <c r="S31" s="18" t="s">
        <v>43</v>
      </c>
      <c r="T31" s="18" t="s">
        <v>99</v>
      </c>
      <c r="U31" s="18" t="s">
        <v>100</v>
      </c>
      <c r="V31" s="18" t="s">
        <v>101</v>
      </c>
    </row>
    <row r="32" spans="1:25" ht="17.25" customHeight="1" x14ac:dyDescent="0.65">
      <c r="A32" s="13">
        <v>10</v>
      </c>
      <c r="B32" s="16" t="s">
        <v>102</v>
      </c>
      <c r="C32" s="17" t="s">
        <v>103</v>
      </c>
      <c r="D32" s="18" t="s">
        <v>50</v>
      </c>
      <c r="E32" s="18">
        <v>0</v>
      </c>
      <c r="F32" s="18">
        <v>0</v>
      </c>
      <c r="G32" s="18">
        <v>0</v>
      </c>
      <c r="H32" s="18">
        <v>8</v>
      </c>
      <c r="I32" s="18">
        <v>15</v>
      </c>
      <c r="J32" s="18">
        <v>22</v>
      </c>
      <c r="K32" s="18"/>
      <c r="L32" s="18">
        <v>0</v>
      </c>
      <c r="M32" s="18">
        <v>0</v>
      </c>
      <c r="N32" s="18"/>
      <c r="O32" s="18"/>
      <c r="P32" s="107">
        <v>16</v>
      </c>
      <c r="Q32" s="104">
        <f>O32</f>
        <v>0</v>
      </c>
      <c r="R32" s="108">
        <f>IFERROR(Q32/P32,"")</f>
        <v>0</v>
      </c>
      <c r="S32" s="18" t="s">
        <v>43</v>
      </c>
      <c r="T32" s="18" t="s">
        <v>99</v>
      </c>
      <c r="U32" s="18" t="s">
        <v>100</v>
      </c>
      <c r="V32" s="18" t="s">
        <v>101</v>
      </c>
    </row>
    <row r="33" spans="1:25" s="29" customFormat="1" ht="22.5" customHeight="1" x14ac:dyDescent="0.75">
      <c r="A33" s="23">
        <v>11</v>
      </c>
      <c r="B33" s="24" t="s">
        <v>104</v>
      </c>
      <c r="C33" s="25" t="s">
        <v>105</v>
      </c>
      <c r="D33" s="26" t="s">
        <v>106</v>
      </c>
      <c r="E33" s="26">
        <v>0</v>
      </c>
      <c r="F33" s="107"/>
      <c r="G33" s="107"/>
      <c r="H33" s="107"/>
      <c r="I33" s="107"/>
      <c r="J33" s="107"/>
      <c r="K33" s="107"/>
      <c r="L33" s="107"/>
      <c r="M33" s="107"/>
      <c r="N33" s="107"/>
      <c r="O33" s="107"/>
      <c r="P33" s="107">
        <v>4</v>
      </c>
      <c r="Q33" s="104"/>
      <c r="R33" s="108"/>
      <c r="S33" s="26"/>
      <c r="T33" s="26"/>
      <c r="U33" s="26"/>
      <c r="V33" s="26"/>
      <c r="W33" s="7"/>
      <c r="X33" s="7"/>
      <c r="Y33" s="7"/>
    </row>
    <row r="34" spans="1:25" ht="24" customHeight="1" x14ac:dyDescent="0.65">
      <c r="A34" s="13">
        <v>12</v>
      </c>
      <c r="B34" s="16" t="s">
        <v>107</v>
      </c>
      <c r="C34" s="19" t="s">
        <v>108</v>
      </c>
      <c r="D34" s="18" t="s">
        <v>85</v>
      </c>
      <c r="E34" s="18">
        <v>0</v>
      </c>
      <c r="F34" s="18"/>
      <c r="G34" s="18"/>
      <c r="H34" s="18"/>
      <c r="I34" s="18"/>
      <c r="J34" s="18"/>
      <c r="K34" s="18"/>
      <c r="L34" s="18"/>
      <c r="M34" s="18"/>
      <c r="N34" s="35"/>
      <c r="O34" s="19"/>
      <c r="P34" s="112">
        <v>300</v>
      </c>
      <c r="Q34" s="101">
        <f>O34</f>
        <v>0</v>
      </c>
      <c r="R34" s="100">
        <f>IFERROR(Q34/P34,"")</f>
        <v>0</v>
      </c>
      <c r="S34" s="18"/>
      <c r="T34" s="18"/>
      <c r="U34" s="18"/>
      <c r="V34" s="17"/>
    </row>
    <row r="35" spans="1:25" ht="19.5" customHeight="1" x14ac:dyDescent="0.75">
      <c r="A35" s="13"/>
      <c r="B35" s="13" t="s">
        <v>16</v>
      </c>
      <c r="C35" s="228" t="s">
        <v>109</v>
      </c>
      <c r="D35" s="210"/>
      <c r="E35" s="210"/>
      <c r="F35" s="210"/>
      <c r="G35" s="210"/>
      <c r="H35" s="210"/>
      <c r="I35" s="210"/>
      <c r="J35" s="210"/>
      <c r="K35" s="210"/>
      <c r="L35" s="210"/>
      <c r="M35" s="210"/>
      <c r="N35" s="210"/>
      <c r="O35" s="210"/>
      <c r="P35" s="210"/>
      <c r="Q35" s="210"/>
      <c r="R35" s="210"/>
      <c r="S35" s="210"/>
      <c r="T35" s="210"/>
      <c r="U35" s="210"/>
      <c r="V35" s="211"/>
    </row>
    <row r="36" spans="1:25" ht="21" customHeight="1" x14ac:dyDescent="0.65">
      <c r="A36" s="13">
        <v>13</v>
      </c>
      <c r="B36" s="93" t="s">
        <v>110</v>
      </c>
      <c r="C36" s="19" t="s">
        <v>111</v>
      </c>
      <c r="D36" s="18" t="s">
        <v>50</v>
      </c>
      <c r="E36" s="18">
        <v>0</v>
      </c>
      <c r="F36" s="18">
        <v>0</v>
      </c>
      <c r="G36" s="35">
        <v>6000</v>
      </c>
      <c r="H36" s="35">
        <v>36000</v>
      </c>
      <c r="I36" s="35">
        <v>30000</v>
      </c>
      <c r="J36" s="35">
        <v>18000</v>
      </c>
      <c r="K36" s="18"/>
      <c r="L36" s="35">
        <v>0</v>
      </c>
      <c r="M36" s="35">
        <v>0</v>
      </c>
      <c r="N36" s="35"/>
      <c r="O36" s="18"/>
      <c r="P36" s="104">
        <v>300000</v>
      </c>
      <c r="Q36" s="104">
        <f t="shared" ref="Q36:Q45" si="2">O36</f>
        <v>0</v>
      </c>
      <c r="R36" s="108">
        <f t="shared" ref="R36:R45" si="3">IFERROR(Q36/P36,"")</f>
        <v>0</v>
      </c>
    </row>
    <row r="37" spans="1:25" ht="28.5" customHeight="1" x14ac:dyDescent="0.65">
      <c r="A37" s="13">
        <v>14</v>
      </c>
      <c r="B37" s="93" t="s">
        <v>112</v>
      </c>
      <c r="C37" s="94" t="s">
        <v>113</v>
      </c>
      <c r="D37" s="18"/>
      <c r="E37" s="18"/>
      <c r="F37" s="18"/>
      <c r="G37" s="35">
        <v>3000</v>
      </c>
      <c r="H37" s="35">
        <v>18000</v>
      </c>
      <c r="I37" s="35">
        <v>15000</v>
      </c>
      <c r="J37" s="35">
        <v>9000</v>
      </c>
      <c r="K37" s="18"/>
      <c r="L37" s="18">
        <v>0</v>
      </c>
      <c r="M37" s="18">
        <v>0</v>
      </c>
      <c r="N37" s="18"/>
      <c r="O37" s="18"/>
      <c r="P37" s="104">
        <v>150000</v>
      </c>
      <c r="Q37" s="104">
        <f t="shared" si="2"/>
        <v>0</v>
      </c>
      <c r="R37" s="108">
        <f t="shared" si="3"/>
        <v>0</v>
      </c>
      <c r="S37" s="18" t="s">
        <v>71</v>
      </c>
      <c r="T37" s="18" t="s">
        <v>114</v>
      </c>
      <c r="U37" s="18" t="s">
        <v>115</v>
      </c>
      <c r="V37" s="18" t="s">
        <v>116</v>
      </c>
    </row>
    <row r="38" spans="1:25" ht="19.5" customHeight="1" x14ac:dyDescent="0.65">
      <c r="A38" s="13">
        <v>15</v>
      </c>
      <c r="B38" s="16" t="s">
        <v>117</v>
      </c>
      <c r="C38" s="17" t="s">
        <v>118</v>
      </c>
      <c r="D38" s="18" t="s">
        <v>50</v>
      </c>
      <c r="E38" s="18">
        <v>0</v>
      </c>
      <c r="F38" s="18">
        <v>0</v>
      </c>
      <c r="G38" s="18">
        <v>0</v>
      </c>
      <c r="H38" s="18">
        <v>180</v>
      </c>
      <c r="I38" s="18">
        <v>180</v>
      </c>
      <c r="J38" s="18">
        <v>180</v>
      </c>
      <c r="K38" s="18"/>
      <c r="L38" s="18">
        <v>95</v>
      </c>
      <c r="M38" s="18">
        <v>890</v>
      </c>
      <c r="N38" s="18"/>
      <c r="O38" s="18"/>
      <c r="P38" s="107">
        <v>600</v>
      </c>
      <c r="Q38" s="104">
        <f t="shared" si="2"/>
        <v>0</v>
      </c>
      <c r="R38" s="108">
        <f t="shared" si="3"/>
        <v>0</v>
      </c>
      <c r="S38" s="18" t="s">
        <v>119</v>
      </c>
      <c r="T38" s="18" t="s">
        <v>44</v>
      </c>
      <c r="U38" s="18" t="s">
        <v>120</v>
      </c>
      <c r="V38" s="18" t="s">
        <v>46</v>
      </c>
    </row>
    <row r="39" spans="1:25" ht="24" customHeight="1" x14ac:dyDescent="0.65">
      <c r="A39" s="13">
        <v>16</v>
      </c>
      <c r="B39" s="16" t="s">
        <v>121</v>
      </c>
      <c r="C39" s="17" t="s">
        <v>122</v>
      </c>
      <c r="D39" s="18" t="s">
        <v>123</v>
      </c>
      <c r="E39" s="35">
        <v>0</v>
      </c>
      <c r="F39" s="35">
        <v>0</v>
      </c>
      <c r="G39" s="35">
        <v>0</v>
      </c>
      <c r="H39" s="35">
        <v>1200000</v>
      </c>
      <c r="I39" s="35">
        <v>900000</v>
      </c>
      <c r="J39" s="35">
        <v>1200000</v>
      </c>
      <c r="K39" s="35"/>
      <c r="L39" s="35">
        <v>0</v>
      </c>
      <c r="M39" s="35">
        <v>0</v>
      </c>
      <c r="N39" s="35"/>
      <c r="O39" s="18"/>
      <c r="P39" s="104">
        <v>4000000</v>
      </c>
      <c r="Q39" s="104">
        <f t="shared" si="2"/>
        <v>0</v>
      </c>
      <c r="R39" s="108">
        <f t="shared" si="3"/>
        <v>0</v>
      </c>
      <c r="S39" s="18" t="s">
        <v>119</v>
      </c>
      <c r="T39" s="18" t="s">
        <v>124</v>
      </c>
      <c r="U39" s="18" t="s">
        <v>125</v>
      </c>
      <c r="V39" s="18" t="s">
        <v>126</v>
      </c>
    </row>
    <row r="40" spans="1:25" ht="19.5" customHeight="1" x14ac:dyDescent="0.65">
      <c r="A40" s="13">
        <v>17</v>
      </c>
      <c r="B40" s="93" t="s">
        <v>127</v>
      </c>
      <c r="C40" s="19" t="s">
        <v>128</v>
      </c>
      <c r="D40" s="18" t="s">
        <v>50</v>
      </c>
      <c r="E40" s="18">
        <v>0</v>
      </c>
      <c r="F40" s="18">
        <v>0</v>
      </c>
      <c r="G40" s="35">
        <v>10</v>
      </c>
      <c r="H40" s="35">
        <v>30</v>
      </c>
      <c r="I40" s="35">
        <v>70</v>
      </c>
      <c r="J40" s="35">
        <v>100</v>
      </c>
      <c r="K40" s="18"/>
      <c r="L40" s="35">
        <v>0</v>
      </c>
      <c r="M40" s="35">
        <v>0</v>
      </c>
      <c r="N40" s="35"/>
      <c r="O40" s="18"/>
      <c r="P40" s="104">
        <v>50</v>
      </c>
      <c r="Q40" s="104">
        <f t="shared" si="2"/>
        <v>0</v>
      </c>
      <c r="R40" s="108">
        <f t="shared" si="3"/>
        <v>0</v>
      </c>
      <c r="S40" s="18" t="s">
        <v>43</v>
      </c>
      <c r="T40" s="18" t="s">
        <v>129</v>
      </c>
      <c r="U40" s="18" t="s">
        <v>130</v>
      </c>
      <c r="V40" s="18" t="s">
        <v>131</v>
      </c>
    </row>
    <row r="41" spans="1:25" ht="21" customHeight="1" x14ac:dyDescent="0.65">
      <c r="A41" s="13">
        <v>17</v>
      </c>
      <c r="B41" s="93" t="s">
        <v>132</v>
      </c>
      <c r="C41" s="94" t="s">
        <v>133</v>
      </c>
      <c r="D41" s="18" t="s">
        <v>37</v>
      </c>
      <c r="E41" s="18">
        <v>0</v>
      </c>
      <c r="F41" s="18"/>
      <c r="G41" s="35"/>
      <c r="H41" s="35"/>
      <c r="I41" s="35"/>
      <c r="J41" s="35"/>
      <c r="K41" s="18"/>
      <c r="L41" s="35"/>
      <c r="M41" s="35"/>
      <c r="N41" s="35"/>
      <c r="O41" s="18"/>
      <c r="P41" s="108">
        <v>0.5</v>
      </c>
      <c r="Q41" s="104">
        <f t="shared" si="2"/>
        <v>0</v>
      </c>
      <c r="R41" s="108">
        <f t="shared" si="3"/>
        <v>0</v>
      </c>
      <c r="S41" s="18"/>
      <c r="T41" s="18"/>
      <c r="U41" s="18"/>
      <c r="V41" s="18"/>
    </row>
    <row r="42" spans="1:25" ht="19.5" customHeight="1" x14ac:dyDescent="0.65">
      <c r="A42" s="13">
        <v>18</v>
      </c>
      <c r="B42" s="93" t="s">
        <v>134</v>
      </c>
      <c r="C42" s="19" t="s">
        <v>135</v>
      </c>
      <c r="D42" s="18" t="s">
        <v>50</v>
      </c>
      <c r="E42" s="18">
        <v>0</v>
      </c>
      <c r="F42" s="18">
        <v>0</v>
      </c>
      <c r="G42" s="35">
        <v>6000</v>
      </c>
      <c r="H42" s="35">
        <v>36000</v>
      </c>
      <c r="I42" s="35">
        <v>30000</v>
      </c>
      <c r="J42" s="35">
        <v>18000</v>
      </c>
      <c r="K42" s="18"/>
      <c r="L42" s="35">
        <v>0</v>
      </c>
      <c r="M42" s="95">
        <v>37645</v>
      </c>
      <c r="N42" s="35"/>
      <c r="O42" s="18"/>
      <c r="P42" s="104">
        <v>300000</v>
      </c>
      <c r="Q42" s="104">
        <f t="shared" si="2"/>
        <v>0</v>
      </c>
      <c r="R42" s="108">
        <f t="shared" si="3"/>
        <v>0</v>
      </c>
      <c r="S42" s="18"/>
      <c r="T42" s="18"/>
      <c r="U42" s="18"/>
      <c r="V42" s="18"/>
    </row>
    <row r="43" spans="1:25" ht="21" customHeight="1" x14ac:dyDescent="0.65">
      <c r="A43" s="13">
        <v>18</v>
      </c>
      <c r="B43" s="93" t="s">
        <v>136</v>
      </c>
      <c r="C43" s="94" t="s">
        <v>137</v>
      </c>
      <c r="D43" s="18" t="s">
        <v>50</v>
      </c>
      <c r="E43" s="18">
        <v>0</v>
      </c>
      <c r="F43" s="18"/>
      <c r="G43" s="35"/>
      <c r="H43" s="35"/>
      <c r="I43" s="35"/>
      <c r="J43" s="35"/>
      <c r="K43" s="18"/>
      <c r="L43" s="35"/>
      <c r="M43" s="95"/>
      <c r="N43" s="35"/>
      <c r="O43" s="18"/>
      <c r="P43" s="104">
        <v>150000</v>
      </c>
      <c r="Q43" s="104">
        <f t="shared" si="2"/>
        <v>0</v>
      </c>
      <c r="R43" s="108">
        <f t="shared" si="3"/>
        <v>0</v>
      </c>
      <c r="S43" s="18" t="s">
        <v>43</v>
      </c>
      <c r="T43" s="18" t="s">
        <v>44</v>
      </c>
      <c r="U43" s="18" t="s">
        <v>138</v>
      </c>
      <c r="V43" s="18" t="s">
        <v>46</v>
      </c>
    </row>
    <row r="44" spans="1:25" ht="28.5" customHeight="1" x14ac:dyDescent="0.65">
      <c r="A44" s="13">
        <v>19</v>
      </c>
      <c r="B44" s="93" t="s">
        <v>139</v>
      </c>
      <c r="C44" s="19" t="s">
        <v>140</v>
      </c>
      <c r="D44" s="18" t="s">
        <v>50</v>
      </c>
      <c r="E44" s="18">
        <v>0</v>
      </c>
      <c r="F44" s="18"/>
      <c r="G44" s="35"/>
      <c r="H44" s="35"/>
      <c r="I44" s="35"/>
      <c r="J44" s="35"/>
      <c r="K44" s="18"/>
      <c r="L44" s="35"/>
      <c r="M44" s="35"/>
      <c r="N44" s="35"/>
      <c r="O44" s="18"/>
      <c r="P44" s="104">
        <v>100000</v>
      </c>
      <c r="Q44" s="104">
        <f t="shared" si="2"/>
        <v>0</v>
      </c>
      <c r="R44" s="108">
        <f t="shared" si="3"/>
        <v>0</v>
      </c>
      <c r="S44" s="18"/>
      <c r="T44" s="18"/>
      <c r="U44" s="18"/>
      <c r="V44" s="18"/>
    </row>
    <row r="45" spans="1:25" ht="19.5" customHeight="1" x14ac:dyDescent="0.65">
      <c r="A45" s="13">
        <v>20</v>
      </c>
      <c r="B45" s="93" t="s">
        <v>141</v>
      </c>
      <c r="C45" s="17" t="s">
        <v>142</v>
      </c>
      <c r="D45" s="18" t="s">
        <v>50</v>
      </c>
      <c r="E45" s="17"/>
      <c r="F45" s="18"/>
      <c r="G45" s="35">
        <v>50</v>
      </c>
      <c r="H45" s="35">
        <v>100</v>
      </c>
      <c r="I45" s="35">
        <v>200</v>
      </c>
      <c r="J45" s="35">
        <v>300</v>
      </c>
      <c r="K45" s="17"/>
      <c r="L45" s="18">
        <v>0</v>
      </c>
      <c r="M45" s="18">
        <v>0</v>
      </c>
      <c r="N45" s="17"/>
      <c r="O45" s="17"/>
      <c r="P45" s="103">
        <f>J45</f>
        <v>300</v>
      </c>
      <c r="Q45" s="103">
        <f t="shared" si="2"/>
        <v>0</v>
      </c>
      <c r="R45" s="105">
        <f t="shared" si="3"/>
        <v>0</v>
      </c>
      <c r="S45" s="18"/>
      <c r="T45" s="18"/>
      <c r="U45" s="18"/>
      <c r="V45" s="18"/>
    </row>
    <row r="46" spans="1:25" ht="17.25" customHeight="1" x14ac:dyDescent="0.75">
      <c r="A46" s="13"/>
      <c r="B46" s="13"/>
      <c r="C46" s="209" t="s">
        <v>143</v>
      </c>
      <c r="D46" s="210"/>
      <c r="E46" s="210"/>
      <c r="F46" s="210"/>
      <c r="G46" s="210"/>
      <c r="H46" s="210"/>
      <c r="I46" s="210"/>
      <c r="J46" s="210"/>
      <c r="K46" s="210"/>
      <c r="L46" s="210"/>
      <c r="M46" s="210"/>
      <c r="N46" s="210"/>
      <c r="O46" s="210"/>
      <c r="P46" s="210"/>
      <c r="Q46" s="210"/>
      <c r="R46" s="210"/>
      <c r="S46" s="210"/>
      <c r="T46" s="210"/>
      <c r="U46" s="210"/>
      <c r="V46" s="211"/>
    </row>
    <row r="47" spans="1:25" ht="15" customHeight="1" x14ac:dyDescent="0.75">
      <c r="A47" s="13"/>
      <c r="B47" s="13" t="s">
        <v>20</v>
      </c>
      <c r="C47" s="217" t="s">
        <v>144</v>
      </c>
      <c r="D47" s="210"/>
      <c r="E47" s="210"/>
      <c r="F47" s="210"/>
      <c r="G47" s="210"/>
      <c r="H47" s="210"/>
      <c r="I47" s="210"/>
      <c r="J47" s="210"/>
      <c r="K47" s="210"/>
      <c r="L47" s="210"/>
      <c r="M47" s="210"/>
      <c r="N47" s="210"/>
      <c r="O47" s="210"/>
      <c r="P47" s="210"/>
      <c r="Q47" s="210"/>
      <c r="R47" s="210"/>
      <c r="S47" s="210"/>
      <c r="T47" s="210"/>
      <c r="U47" s="210"/>
      <c r="V47" s="211"/>
    </row>
    <row r="48" spans="1:25" ht="19.5" customHeight="1" x14ac:dyDescent="0.65">
      <c r="A48" s="13">
        <v>21</v>
      </c>
      <c r="B48" s="16" t="s">
        <v>145</v>
      </c>
      <c r="C48" s="17" t="s">
        <v>146</v>
      </c>
      <c r="D48" s="18" t="s">
        <v>37</v>
      </c>
      <c r="E48" s="35">
        <v>0</v>
      </c>
      <c r="F48" s="35">
        <v>0</v>
      </c>
      <c r="G48" s="35">
        <v>100</v>
      </c>
      <c r="H48" s="35">
        <v>100</v>
      </c>
      <c r="I48" s="35">
        <v>100</v>
      </c>
      <c r="J48" s="35">
        <v>100</v>
      </c>
      <c r="K48" s="35"/>
      <c r="L48" s="35">
        <v>100</v>
      </c>
      <c r="M48" s="35">
        <v>100</v>
      </c>
      <c r="N48" s="35"/>
      <c r="O48" s="18"/>
      <c r="P48" s="104">
        <f>J48</f>
        <v>100</v>
      </c>
      <c r="Q48" s="104">
        <f t="shared" ref="Q48:Q53" si="4">O48</f>
        <v>0</v>
      </c>
      <c r="R48" s="108">
        <f>IFERROR(Q48/P48,"")</f>
        <v>0</v>
      </c>
      <c r="S48" s="18" t="s">
        <v>43</v>
      </c>
      <c r="T48" s="18" t="s">
        <v>147</v>
      </c>
      <c r="U48" s="18" t="s">
        <v>148</v>
      </c>
      <c r="V48" s="18" t="s">
        <v>149</v>
      </c>
    </row>
    <row r="49" spans="1:25" ht="15" customHeight="1" x14ac:dyDescent="0.65">
      <c r="A49" s="13">
        <v>22</v>
      </c>
      <c r="B49" s="16" t="s">
        <v>150</v>
      </c>
      <c r="C49" s="17" t="s">
        <v>151</v>
      </c>
      <c r="D49" s="18" t="s">
        <v>50</v>
      </c>
      <c r="E49" s="35">
        <v>0</v>
      </c>
      <c r="F49" s="35">
        <v>0</v>
      </c>
      <c r="G49" s="35">
        <v>0</v>
      </c>
      <c r="H49" s="35">
        <v>1</v>
      </c>
      <c r="I49" s="35">
        <v>2</v>
      </c>
      <c r="J49" s="35">
        <v>1</v>
      </c>
      <c r="K49" s="35"/>
      <c r="L49" s="35">
        <v>0</v>
      </c>
      <c r="M49" s="35">
        <v>0</v>
      </c>
      <c r="N49" s="35"/>
      <c r="O49" s="18"/>
      <c r="P49" s="104">
        <v>2</v>
      </c>
      <c r="Q49" s="104">
        <f t="shared" si="4"/>
        <v>0</v>
      </c>
      <c r="R49" s="108">
        <f>IFERROR(Q49/P49,"")</f>
        <v>0</v>
      </c>
    </row>
    <row r="50" spans="1:25" ht="19.5" customHeight="1" x14ac:dyDescent="0.65">
      <c r="A50" s="13">
        <v>23</v>
      </c>
      <c r="B50" s="16" t="s">
        <v>152</v>
      </c>
      <c r="C50" s="17" t="s">
        <v>153</v>
      </c>
      <c r="D50" s="18" t="s">
        <v>50</v>
      </c>
      <c r="E50" s="35">
        <v>0</v>
      </c>
      <c r="F50" s="35">
        <v>0</v>
      </c>
      <c r="G50" s="35">
        <v>3</v>
      </c>
      <c r="H50" s="35">
        <v>8</v>
      </c>
      <c r="I50" s="35">
        <v>18</v>
      </c>
      <c r="J50" s="35">
        <v>28</v>
      </c>
      <c r="K50" s="35"/>
      <c r="L50" s="35">
        <v>0</v>
      </c>
      <c r="M50" s="35">
        <v>0</v>
      </c>
      <c r="N50" s="35"/>
      <c r="O50" s="18"/>
      <c r="P50" s="104">
        <v>7</v>
      </c>
      <c r="Q50" s="104">
        <f t="shared" si="4"/>
        <v>0</v>
      </c>
      <c r="R50" s="108">
        <f>IFERROR(Q50/P50,"")</f>
        <v>0</v>
      </c>
      <c r="S50" s="18" t="s">
        <v>43</v>
      </c>
      <c r="T50" s="18" t="s">
        <v>154</v>
      </c>
      <c r="U50" s="18" t="s">
        <v>155</v>
      </c>
      <c r="V50" s="18" t="s">
        <v>46</v>
      </c>
    </row>
    <row r="51" spans="1:25" ht="19.5" customHeight="1" x14ac:dyDescent="0.65">
      <c r="A51" s="13">
        <v>24</v>
      </c>
      <c r="B51" s="16" t="s">
        <v>156</v>
      </c>
      <c r="C51" s="17" t="s">
        <v>157</v>
      </c>
      <c r="D51" s="18" t="s">
        <v>106</v>
      </c>
      <c r="E51" s="35" t="s">
        <v>158</v>
      </c>
      <c r="F51" s="35" t="s">
        <v>159</v>
      </c>
      <c r="G51" s="35" t="s">
        <v>159</v>
      </c>
      <c r="H51" s="35" t="s">
        <v>159</v>
      </c>
      <c r="I51" s="35" t="s">
        <v>159</v>
      </c>
      <c r="J51" s="35" t="s">
        <v>159</v>
      </c>
      <c r="K51" s="35" t="s">
        <v>159</v>
      </c>
      <c r="L51" s="35" t="s">
        <v>159</v>
      </c>
      <c r="M51" s="35" t="s">
        <v>159</v>
      </c>
      <c r="N51" s="35"/>
      <c r="O51" s="18"/>
      <c r="P51" s="104" t="str">
        <f>J51</f>
        <v>Oui</v>
      </c>
      <c r="Q51" s="104">
        <f t="shared" si="4"/>
        <v>0</v>
      </c>
      <c r="R51" s="20"/>
      <c r="S51" s="18" t="s">
        <v>43</v>
      </c>
      <c r="T51" s="18" t="s">
        <v>160</v>
      </c>
      <c r="U51" s="18" t="s">
        <v>161</v>
      </c>
      <c r="V51" s="18" t="s">
        <v>162</v>
      </c>
    </row>
    <row r="52" spans="1:25" ht="19.5" customHeight="1" x14ac:dyDescent="0.65">
      <c r="A52" s="13">
        <v>25</v>
      </c>
      <c r="B52" s="16" t="s">
        <v>163</v>
      </c>
      <c r="C52" s="19" t="s">
        <v>164</v>
      </c>
      <c r="D52" s="18" t="s">
        <v>37</v>
      </c>
      <c r="E52" s="18">
        <v>0</v>
      </c>
      <c r="F52" s="18">
        <v>100</v>
      </c>
      <c r="G52" s="18">
        <v>100</v>
      </c>
      <c r="H52" s="18">
        <v>100</v>
      </c>
      <c r="I52" s="18">
        <v>100</v>
      </c>
      <c r="J52" s="18">
        <v>100</v>
      </c>
      <c r="K52" s="18"/>
      <c r="L52" s="18">
        <v>100</v>
      </c>
      <c r="M52" s="18">
        <v>100</v>
      </c>
      <c r="N52" s="18"/>
      <c r="O52" s="19"/>
      <c r="P52" s="112">
        <f>J52</f>
        <v>100</v>
      </c>
      <c r="Q52" s="101">
        <f t="shared" si="4"/>
        <v>0</v>
      </c>
      <c r="R52" s="100">
        <f>IFERROR(Q52/P52,"")</f>
        <v>0</v>
      </c>
      <c r="S52" s="18" t="s">
        <v>71</v>
      </c>
      <c r="T52" s="18" t="s">
        <v>165</v>
      </c>
      <c r="U52" s="18" t="s">
        <v>166</v>
      </c>
      <c r="V52" s="18" t="s">
        <v>167</v>
      </c>
    </row>
    <row r="53" spans="1:25" ht="19.5" customHeight="1" x14ac:dyDescent="0.65">
      <c r="A53" s="13">
        <v>26</v>
      </c>
      <c r="B53" s="16" t="s">
        <v>168</v>
      </c>
      <c r="C53" s="19" t="s">
        <v>169</v>
      </c>
      <c r="D53" s="18" t="s">
        <v>37</v>
      </c>
      <c r="E53" s="18">
        <v>0</v>
      </c>
      <c r="F53" s="18">
        <v>0</v>
      </c>
      <c r="G53" s="18">
        <v>70</v>
      </c>
      <c r="H53" s="18">
        <v>70</v>
      </c>
      <c r="I53" s="18">
        <v>70</v>
      </c>
      <c r="J53" s="18">
        <v>70</v>
      </c>
      <c r="K53" s="18"/>
      <c r="L53" s="18">
        <v>0</v>
      </c>
      <c r="M53" s="18">
        <v>0</v>
      </c>
      <c r="N53" s="18"/>
      <c r="O53" s="19"/>
      <c r="P53" s="112">
        <f>J53</f>
        <v>70</v>
      </c>
      <c r="Q53" s="101">
        <f t="shared" si="4"/>
        <v>0</v>
      </c>
      <c r="R53" s="100">
        <f>IFERROR(Q53/P53,"")</f>
        <v>0</v>
      </c>
      <c r="S53" s="18" t="s">
        <v>43</v>
      </c>
      <c r="T53" s="18" t="s">
        <v>165</v>
      </c>
      <c r="U53" s="19" t="s">
        <v>170</v>
      </c>
      <c r="V53" s="18" t="s">
        <v>167</v>
      </c>
    </row>
    <row r="54" spans="1:25" s="29" customFormat="1" ht="19.5" customHeight="1" x14ac:dyDescent="0.75">
      <c r="A54" s="23"/>
      <c r="B54" s="23"/>
      <c r="C54" s="229" t="s">
        <v>171</v>
      </c>
      <c r="D54" s="210"/>
      <c r="E54" s="210"/>
      <c r="F54" s="210"/>
      <c r="G54" s="210"/>
      <c r="H54" s="210"/>
      <c r="I54" s="210"/>
      <c r="J54" s="210"/>
      <c r="K54" s="210"/>
      <c r="L54" s="210"/>
      <c r="M54" s="210"/>
      <c r="N54" s="210"/>
      <c r="O54" s="210"/>
      <c r="P54" s="210"/>
      <c r="Q54" s="210"/>
      <c r="R54" s="210"/>
      <c r="S54" s="210"/>
      <c r="T54" s="210"/>
      <c r="U54" s="210"/>
      <c r="V54" s="211"/>
      <c r="W54" s="7"/>
      <c r="X54" s="7"/>
      <c r="Y54" s="7"/>
    </row>
    <row r="55" spans="1:25" s="29" customFormat="1" ht="19.5" customHeight="1" x14ac:dyDescent="0.75">
      <c r="A55" s="23">
        <v>27</v>
      </c>
      <c r="B55" s="23"/>
      <c r="C55" s="32" t="s">
        <v>172</v>
      </c>
      <c r="D55" s="36"/>
      <c r="N55" s="113"/>
      <c r="W55" s="7"/>
      <c r="X55" s="7"/>
      <c r="Y55" s="7"/>
    </row>
    <row r="56" spans="1:25" ht="19.5" customHeight="1" x14ac:dyDescent="0.65">
      <c r="A56" s="13"/>
      <c r="B56" s="24"/>
      <c r="C56" s="37" t="s">
        <v>173</v>
      </c>
      <c r="D56" s="38"/>
      <c r="E56" s="39"/>
      <c r="F56" s="40"/>
      <c r="G56" s="40"/>
      <c r="H56" s="40"/>
      <c r="I56" s="40"/>
      <c r="J56" s="40"/>
      <c r="K56" s="35"/>
      <c r="L56" s="41"/>
      <c r="M56" s="41"/>
      <c r="N56" s="35"/>
      <c r="O56" s="18"/>
      <c r="P56" s="114"/>
      <c r="Q56" s="114"/>
      <c r="R56" s="115"/>
      <c r="S56" s="38"/>
      <c r="T56" s="18"/>
      <c r="U56" s="38"/>
      <c r="V56" s="18"/>
    </row>
    <row r="57" spans="1:25" ht="19.5" customHeight="1" x14ac:dyDescent="0.75">
      <c r="A57" s="13"/>
      <c r="B57" s="24"/>
      <c r="C57" s="19"/>
      <c r="D57" s="38"/>
      <c r="E57" s="42"/>
      <c r="S57" s="38"/>
      <c r="T57" s="42"/>
      <c r="U57" s="44"/>
      <c r="V57" s="42"/>
    </row>
    <row r="58" spans="1:25" ht="19.5" customHeight="1" x14ac:dyDescent="0.75">
      <c r="A58" s="13"/>
      <c r="B58" s="24"/>
      <c r="C58" s="45"/>
      <c r="D58" s="38"/>
      <c r="E58" s="39"/>
      <c r="S58" s="38"/>
      <c r="T58" s="18"/>
      <c r="U58" s="38"/>
      <c r="V58" s="18"/>
    </row>
    <row r="59" spans="1:25" ht="19.5" customHeight="1" x14ac:dyDescent="0.75">
      <c r="A59" s="13"/>
      <c r="B59" s="24"/>
      <c r="C59" s="46"/>
      <c r="D59" s="38"/>
      <c r="E59" s="42"/>
      <c r="S59" s="38"/>
      <c r="T59" s="42"/>
      <c r="U59" s="43"/>
      <c r="V59" s="42"/>
    </row>
    <row r="60" spans="1:25" ht="13.5" customHeight="1" x14ac:dyDescent="0.75">
      <c r="A60" s="13"/>
      <c r="B60" s="13"/>
      <c r="C60" s="131"/>
    </row>
    <row r="61" spans="1:25" ht="25.5" customHeight="1" x14ac:dyDescent="0.75">
      <c r="A61" s="23"/>
      <c r="B61" s="24"/>
      <c r="C61" s="19"/>
      <c r="D61" s="38"/>
      <c r="E61" s="42"/>
      <c r="S61" s="38"/>
      <c r="T61" s="18"/>
      <c r="U61" s="38"/>
      <c r="V61" s="18"/>
    </row>
  </sheetData>
  <mergeCells count="27">
    <mergeCell ref="C35:V35"/>
    <mergeCell ref="C29:V29"/>
    <mergeCell ref="C47:V47"/>
    <mergeCell ref="C54:V54"/>
    <mergeCell ref="T2:T5"/>
    <mergeCell ref="C9:V9"/>
    <mergeCell ref="Q3:Q5"/>
    <mergeCell ref="E2:E5"/>
    <mergeCell ref="S4:S5"/>
    <mergeCell ref="C46:V46"/>
    <mergeCell ref="C17:V17"/>
    <mergeCell ref="F2:O2"/>
    <mergeCell ref="C7:V7"/>
    <mergeCell ref="V2:V5"/>
    <mergeCell ref="C19:V19"/>
    <mergeCell ref="K3:O3"/>
    <mergeCell ref="C18:V18"/>
    <mergeCell ref="C4:C5"/>
    <mergeCell ref="A1:A6"/>
    <mergeCell ref="C30:V30"/>
    <mergeCell ref="P3:P5"/>
    <mergeCell ref="C15:V15"/>
    <mergeCell ref="R3:R5"/>
    <mergeCell ref="C6:V6"/>
    <mergeCell ref="D2:D5"/>
    <mergeCell ref="U2:U5"/>
    <mergeCell ref="F3:J3"/>
  </mergeCells>
  <hyperlinks>
    <hyperlink ref="B8" r:id="rId1" location="'IODP1.1'!A1"/>
    <hyperlink ref="B10" r:id="rId2" location="'IODP2.1'!A1"/>
    <hyperlink ref="B11" r:id="rId3" location="'IODP2.2'!A1"/>
    <hyperlink ref="B12" r:id="rId4" location="'IODP2.3'!A1"/>
    <hyperlink ref="B13" r:id="rId5" location="'IODP2.4'!A1"/>
    <hyperlink ref="B14" r:id="rId6" location="'IODP2.5'!A1"/>
    <hyperlink ref="B16" r:id="rId7" location="'IODP3.1'!A1"/>
    <hyperlink ref="B20" r:id="rId8" location="'IR1.1.1'!A1"/>
    <hyperlink ref="B21" r:id="rId9" location="'IR1.1.2'!A1"/>
    <hyperlink ref="B22" r:id="rId10" location="'IR1.1.3'!A1" display="IR1.1.3"/>
    <hyperlink ref="B23" r:id="rId11" location="'IR1.1.4'!A1" display="IR1.1.4"/>
    <hyperlink ref="B24" r:id="rId12" location="'IR1.1.5'!A1" display="IR1.1.4.1"/>
    <hyperlink ref="B25" r:id="rId13" location="'IR1.1.6'!A1" display="IR1.1.6"/>
    <hyperlink ref="B26" r:id="rId14" location="'IR1.1.7'!A1" display="IR1.1.7"/>
    <hyperlink ref="B27" r:id="rId15" location="'IR1.1.8'!A1" display="IR1.1.8.1"/>
    <hyperlink ref="B28" r:id="rId16" location="'IR1.1.9'!A1" display="IR1.1.8.2"/>
    <hyperlink ref="B31" r:id="rId17" location="'IR2.1.1'!A1"/>
    <hyperlink ref="B32" r:id="rId18" location="'IR2.1.4'!A1"/>
    <hyperlink ref="B34" r:id="rId19" location="'IR2.2.13'!A1"/>
    <hyperlink ref="B36" r:id="rId20" location="'IR2.2.5'!A1"/>
    <hyperlink ref="B37" r:id="rId21" location="'IR2.2.7'!A1"/>
    <hyperlink ref="B38" r:id="rId22" location="'IR2.2.3'!A1"/>
    <hyperlink ref="B39" r:id="rId23" location="'IR2.2.4'!A1"/>
    <hyperlink ref="B40" r:id="rId24" location="'IR2.2.6'!A1"/>
    <hyperlink ref="B41" r:id="rId25" location="'IR2.2.10'!A1"/>
    <hyperlink ref="B42" r:id="rId26" location="'IR2.2.8'!A1"/>
    <hyperlink ref="B43" r:id="rId27" location="'IR2.2.9'!A1"/>
    <hyperlink ref="B44" r:id="rId28" location="'IR2.2.11'!A1"/>
    <hyperlink ref="B45" r:id="rId29" location="'IR2.2.12'!A1"/>
    <hyperlink ref="B48" r:id="rId30" location="'IR3.1.4'!A1"/>
    <hyperlink ref="B49" r:id="rId31" location="'IR3.1.1'!A1"/>
    <hyperlink ref="B50" r:id="rId32" location="'IR3.1.2'!A1"/>
    <hyperlink ref="B51" r:id="rId33" location="'IR3.1.3'!A1"/>
    <hyperlink ref="B52" r:id="rId34" location="'IR3.1.5'!A1"/>
    <hyperlink ref="B53" r:id="rId35" location="'IR3.1.7'!A1"/>
  </hyperlinks>
  <printOptions horizontalCentered="1"/>
  <pageMargins left="0.118055555555556" right="0.118055555555556" top="0.23611111111111099" bottom="0.15763888888888899" header="0.511811023622047" footer="0.511811023622047"/>
  <pageSetup paperSize="9" scale="55" orientation="landscape" horizontalDpi="300" verticalDpi="300"/>
  <legacyDrawing r:id="rId3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61"/>
  <sheetViews>
    <sheetView workbookViewId="0">
      <selection sqref="A1:A6"/>
    </sheetView>
  </sheetViews>
  <sheetFormatPr baseColWidth="10" defaultColWidth="9.453125" defaultRowHeight="14.75" x14ac:dyDescent="0.75"/>
  <cols>
    <col min="1" max="1" width="3.2265625" style="136" customWidth="1"/>
    <col min="2" max="2" width="9.76953125" style="136" customWidth="1"/>
    <col min="3" max="3" width="34" style="8" customWidth="1"/>
    <col min="4" max="4" width="7.76953125" style="9" customWidth="1"/>
    <col min="5" max="5" width="8.76953125" style="8" customWidth="1"/>
    <col min="6" max="6" width="8.453125" style="124" customWidth="1"/>
    <col min="7" max="7" width="8.2265625" style="124" customWidth="1"/>
    <col min="8" max="8" width="9.453125" style="124" customWidth="1"/>
    <col min="9" max="9" width="9.76953125" style="124" customWidth="1"/>
    <col min="10" max="10" width="7.2265625" style="124" customWidth="1"/>
    <col min="11" max="11" width="9.453125" style="124" customWidth="1"/>
    <col min="12" max="12" width="7.2265625" style="124" customWidth="1"/>
    <col min="13" max="13" width="11.2265625" style="124" customWidth="1"/>
    <col min="14" max="14" width="10.453125" style="124" customWidth="1"/>
    <col min="15" max="15" width="9.76953125" style="124" customWidth="1"/>
    <col min="16" max="16" width="10.453125" style="124" customWidth="1"/>
    <col min="17" max="17" width="9.453125" style="124" customWidth="1"/>
    <col min="18" max="18" width="8.76953125" style="124" customWidth="1"/>
    <col min="19" max="20" width="9.453125" style="8" customWidth="1"/>
    <col min="21" max="16384" width="9.453125" style="8"/>
  </cols>
  <sheetData>
    <row r="1" spans="1:26" ht="13.5" customHeight="1" x14ac:dyDescent="0.75">
      <c r="A1" s="214"/>
      <c r="C1" s="142" t="s">
        <v>174</v>
      </c>
      <c r="D1" s="11" t="s">
        <v>25</v>
      </c>
      <c r="E1" s="12"/>
      <c r="F1" s="11"/>
    </row>
    <row r="2" spans="1:26" ht="15.75" customHeight="1" x14ac:dyDescent="0.75">
      <c r="A2" s="215"/>
      <c r="B2" s="13"/>
      <c r="D2" s="209"/>
      <c r="E2" s="223" t="s">
        <v>26</v>
      </c>
      <c r="F2" s="230" t="s">
        <v>27</v>
      </c>
      <c r="G2" s="232" t="s">
        <v>28</v>
      </c>
      <c r="H2" s="226"/>
      <c r="I2" s="226"/>
      <c r="J2" s="226"/>
      <c r="K2" s="226"/>
      <c r="L2" s="226"/>
      <c r="M2" s="226"/>
      <c r="N2" s="226"/>
      <c r="O2" s="226"/>
      <c r="P2" s="134"/>
      <c r="Q2" s="133"/>
      <c r="R2" s="133"/>
      <c r="S2" s="133"/>
      <c r="T2" s="223"/>
      <c r="U2" s="223" t="s">
        <v>29</v>
      </c>
      <c r="V2" s="223" t="s">
        <v>30</v>
      </c>
      <c r="W2" s="132" t="s">
        <v>31</v>
      </c>
    </row>
    <row r="3" spans="1:26" ht="36" customHeight="1" x14ac:dyDescent="0.75">
      <c r="A3" s="215"/>
      <c r="B3" s="13"/>
      <c r="D3" s="223" t="s">
        <v>32</v>
      </c>
      <c r="E3" s="224"/>
      <c r="F3" s="224"/>
      <c r="G3" s="225" t="s">
        <v>33</v>
      </c>
      <c r="H3" s="226"/>
      <c r="I3" s="226"/>
      <c r="J3" s="226"/>
      <c r="K3" s="227"/>
      <c r="L3" s="234" t="s">
        <v>34</v>
      </c>
      <c r="M3" s="226"/>
      <c r="N3" s="226"/>
      <c r="O3" s="226"/>
      <c r="P3" s="227"/>
      <c r="Q3" s="218" t="s">
        <v>35</v>
      </c>
      <c r="R3" s="218" t="s">
        <v>36</v>
      </c>
      <c r="S3" s="133" t="s">
        <v>37</v>
      </c>
      <c r="T3" s="223" t="s">
        <v>38</v>
      </c>
      <c r="U3" s="224"/>
      <c r="V3" s="224"/>
      <c r="W3" s="128"/>
    </row>
    <row r="4" spans="1:26" ht="13.5" customHeight="1" x14ac:dyDescent="0.75">
      <c r="A4" s="215"/>
      <c r="B4" s="13"/>
      <c r="C4" s="236" t="s">
        <v>175</v>
      </c>
      <c r="D4" s="212"/>
      <c r="E4" s="224"/>
      <c r="F4" s="128"/>
      <c r="G4" s="137">
        <v>2023</v>
      </c>
      <c r="H4" s="137">
        <v>2024</v>
      </c>
      <c r="I4" s="137">
        <v>2025</v>
      </c>
      <c r="J4" s="137">
        <v>2026</v>
      </c>
      <c r="K4" s="137">
        <v>2027</v>
      </c>
      <c r="L4" s="135">
        <v>2023</v>
      </c>
      <c r="M4" s="135">
        <v>2024</v>
      </c>
      <c r="N4" s="135">
        <v>2025</v>
      </c>
      <c r="O4" s="135">
        <v>2026</v>
      </c>
      <c r="P4" s="234">
        <v>2027</v>
      </c>
      <c r="Q4" s="219"/>
      <c r="R4" s="219"/>
      <c r="S4" s="219"/>
      <c r="T4" s="231"/>
      <c r="U4" s="224"/>
      <c r="V4" s="224"/>
      <c r="W4" s="128"/>
    </row>
    <row r="5" spans="1:26" ht="9" customHeight="1" x14ac:dyDescent="0.75">
      <c r="A5" s="215"/>
      <c r="B5" s="13"/>
      <c r="C5" s="237"/>
      <c r="D5" s="213"/>
      <c r="E5" s="213"/>
      <c r="F5" s="127"/>
      <c r="G5" s="137"/>
      <c r="H5" s="137"/>
      <c r="I5" s="137"/>
      <c r="J5" s="137"/>
      <c r="K5" s="137"/>
      <c r="L5" s="135"/>
      <c r="M5" s="135"/>
      <c r="N5" s="135"/>
      <c r="O5" s="135"/>
      <c r="P5" s="234"/>
      <c r="Q5" s="220"/>
      <c r="R5" s="220"/>
      <c r="S5" s="220"/>
      <c r="T5" s="213"/>
      <c r="U5" s="213"/>
      <c r="V5" s="213"/>
      <c r="W5" s="127"/>
    </row>
    <row r="6" spans="1:26" ht="13.5" customHeight="1" x14ac:dyDescent="0.75">
      <c r="A6" s="216"/>
      <c r="B6" s="13"/>
      <c r="C6" s="237"/>
      <c r="D6" s="222" t="s">
        <v>39</v>
      </c>
      <c r="E6" s="210"/>
      <c r="F6" s="210"/>
      <c r="G6" s="210"/>
      <c r="H6" s="210"/>
      <c r="I6" s="210"/>
      <c r="J6" s="210"/>
      <c r="K6" s="210"/>
      <c r="L6" s="210"/>
      <c r="M6" s="210"/>
      <c r="N6" s="210"/>
      <c r="O6" s="210"/>
      <c r="P6" s="210"/>
      <c r="Q6" s="210"/>
      <c r="R6" s="210"/>
      <c r="S6" s="210"/>
      <c r="T6" s="210"/>
      <c r="U6" s="210"/>
      <c r="V6" s="210"/>
      <c r="W6" s="125"/>
    </row>
    <row r="7" spans="1:26" ht="13.5" customHeight="1" x14ac:dyDescent="0.75">
      <c r="A7" s="14"/>
      <c r="B7" s="15">
        <v>1</v>
      </c>
      <c r="C7" s="237"/>
      <c r="D7" s="233" t="s">
        <v>40</v>
      </c>
      <c r="E7" s="210"/>
      <c r="F7" s="210"/>
      <c r="G7" s="210"/>
      <c r="H7" s="210"/>
      <c r="I7" s="210"/>
      <c r="J7" s="210"/>
      <c r="K7" s="210"/>
      <c r="L7" s="210"/>
      <c r="M7" s="210"/>
      <c r="N7" s="210"/>
      <c r="O7" s="210"/>
      <c r="P7" s="210"/>
      <c r="Q7" s="210"/>
      <c r="R7" s="210"/>
      <c r="S7" s="210"/>
      <c r="T7" s="210"/>
      <c r="U7" s="210"/>
      <c r="V7" s="210"/>
      <c r="W7" s="125"/>
    </row>
    <row r="8" spans="1:26" ht="36" customHeight="1" x14ac:dyDescent="0.65">
      <c r="A8" s="13">
        <v>1</v>
      </c>
      <c r="B8" s="16" t="s">
        <v>41</v>
      </c>
      <c r="C8" s="143" t="s">
        <v>176</v>
      </c>
      <c r="D8" s="17" t="s">
        <v>42</v>
      </c>
      <c r="E8" s="18" t="s">
        <v>37</v>
      </c>
      <c r="F8" s="144">
        <v>26</v>
      </c>
      <c r="G8" s="18">
        <v>0</v>
      </c>
      <c r="H8" s="145">
        <v>5</v>
      </c>
      <c r="I8" s="146">
        <v>10</v>
      </c>
      <c r="J8" s="146">
        <v>36</v>
      </c>
      <c r="K8" s="146">
        <v>30</v>
      </c>
      <c r="L8" s="19"/>
      <c r="M8" s="96">
        <v>0</v>
      </c>
      <c r="N8" s="21">
        <v>0</v>
      </c>
      <c r="O8" s="146">
        <v>70</v>
      </c>
      <c r="P8" s="19"/>
      <c r="Q8" s="147">
        <v>66</v>
      </c>
      <c r="R8" s="101">
        <f>IFERROR((O8-K8)/K8,"")</f>
        <v>1.3333333333333333</v>
      </c>
      <c r="S8" s="100" t="str">
        <f>IFERROR(Q8/P8,"")</f>
        <v/>
      </c>
      <c r="T8" s="18" t="s">
        <v>43</v>
      </c>
      <c r="U8" s="18" t="s">
        <v>44</v>
      </c>
      <c r="V8" s="18" t="s">
        <v>45</v>
      </c>
      <c r="W8" s="17" t="s">
        <v>46</v>
      </c>
    </row>
    <row r="9" spans="1:26" ht="13.5" customHeight="1" x14ac:dyDescent="0.75">
      <c r="A9" s="13"/>
      <c r="B9" s="22">
        <v>2</v>
      </c>
      <c r="C9" s="237"/>
      <c r="D9" s="221" t="s">
        <v>47</v>
      </c>
      <c r="E9" s="210"/>
      <c r="F9" s="210"/>
      <c r="G9" s="210"/>
      <c r="H9" s="210"/>
      <c r="I9" s="210"/>
      <c r="J9" s="210"/>
      <c r="K9" s="210"/>
      <c r="L9" s="210"/>
      <c r="M9" s="210"/>
      <c r="N9" s="210"/>
      <c r="O9" s="210"/>
      <c r="P9" s="210"/>
      <c r="Q9" s="210"/>
      <c r="R9" s="210"/>
      <c r="S9" s="210"/>
      <c r="T9" s="210"/>
      <c r="U9" s="210"/>
      <c r="V9" s="210"/>
      <c r="W9" s="125"/>
    </row>
    <row r="10" spans="1:26" s="27" customFormat="1" ht="27" customHeight="1" x14ac:dyDescent="0.75">
      <c r="A10" s="23">
        <v>2</v>
      </c>
      <c r="B10" s="24" t="s">
        <v>48</v>
      </c>
      <c r="C10" s="143" t="s">
        <v>177</v>
      </c>
      <c r="D10" s="25" t="s">
        <v>49</v>
      </c>
      <c r="E10" s="26" t="s">
        <v>50</v>
      </c>
      <c r="F10" s="26">
        <v>0</v>
      </c>
      <c r="G10" s="102">
        <v>0</v>
      </c>
      <c r="H10" s="103">
        <v>6000</v>
      </c>
      <c r="I10" s="104">
        <v>36000</v>
      </c>
      <c r="J10" s="104">
        <v>30000</v>
      </c>
      <c r="K10" s="104">
        <v>18000</v>
      </c>
      <c r="L10" s="102"/>
      <c r="M10" s="103">
        <v>9160</v>
      </c>
      <c r="N10" s="103">
        <v>36026</v>
      </c>
      <c r="O10" s="103"/>
      <c r="P10" s="102"/>
      <c r="Q10" s="103">
        <v>300000</v>
      </c>
      <c r="R10" s="103">
        <f>O10</f>
        <v>0</v>
      </c>
      <c r="S10" s="105" t="str">
        <f>IFERROR(Q10/P10,"")</f>
        <v/>
      </c>
      <c r="T10" s="25" t="s">
        <v>43</v>
      </c>
      <c r="U10" s="25" t="s">
        <v>44</v>
      </c>
      <c r="V10" s="25" t="s">
        <v>51</v>
      </c>
      <c r="W10" s="25" t="s">
        <v>46</v>
      </c>
      <c r="X10" s="7"/>
      <c r="Y10" s="7"/>
      <c r="Z10" s="7"/>
    </row>
    <row r="11" spans="1:26" s="27" customFormat="1" ht="27" customHeight="1" x14ac:dyDescent="0.75">
      <c r="A11" s="23">
        <v>3</v>
      </c>
      <c r="B11" s="24" t="s">
        <v>52</v>
      </c>
      <c r="C11" s="143" t="s">
        <v>178</v>
      </c>
      <c r="D11" s="25" t="s">
        <v>53</v>
      </c>
      <c r="E11" s="26" t="s">
        <v>50</v>
      </c>
      <c r="F11" s="26">
        <v>0</v>
      </c>
      <c r="G11" s="102">
        <v>0</v>
      </c>
      <c r="H11" s="103">
        <v>6000</v>
      </c>
      <c r="I11" s="104">
        <v>36000</v>
      </c>
      <c r="J11" s="104">
        <v>30000</v>
      </c>
      <c r="K11" s="104">
        <v>18000</v>
      </c>
      <c r="L11" s="102"/>
      <c r="M11" s="103">
        <v>5527</v>
      </c>
      <c r="N11" s="103">
        <v>22697</v>
      </c>
      <c r="O11" s="103"/>
      <c r="P11" s="102"/>
      <c r="Q11" s="103">
        <v>150000</v>
      </c>
      <c r="R11" s="103">
        <f>O11</f>
        <v>0</v>
      </c>
      <c r="S11" s="105" t="str">
        <f>IFERROR(Q11/P11,"")</f>
        <v/>
      </c>
      <c r="T11" s="25" t="s">
        <v>43</v>
      </c>
      <c r="U11" s="25" t="s">
        <v>44</v>
      </c>
      <c r="V11" s="25" t="s">
        <v>51</v>
      </c>
      <c r="W11" s="25" t="s">
        <v>46</v>
      </c>
      <c r="X11" s="7"/>
      <c r="Y11" s="7"/>
      <c r="Z11" s="7"/>
    </row>
    <row r="12" spans="1:26" s="28" customFormat="1" ht="36.75" customHeight="1" x14ac:dyDescent="0.75">
      <c r="A12" s="13">
        <v>4</v>
      </c>
      <c r="B12" s="16" t="s">
        <v>54</v>
      </c>
      <c r="C12" s="143" t="s">
        <v>179</v>
      </c>
      <c r="D12" s="17" t="s">
        <v>55</v>
      </c>
      <c r="E12" s="18" t="s">
        <v>37</v>
      </c>
      <c r="F12" s="18">
        <v>0.5</v>
      </c>
      <c r="G12" s="17">
        <v>0</v>
      </c>
      <c r="H12" s="145">
        <v>30</v>
      </c>
      <c r="I12" s="146">
        <v>60</v>
      </c>
      <c r="J12" s="18">
        <v>80</v>
      </c>
      <c r="K12" s="18">
        <v>100</v>
      </c>
      <c r="L12" s="17"/>
      <c r="M12" s="145">
        <v>20</v>
      </c>
      <c r="N12" s="145">
        <v>50</v>
      </c>
      <c r="O12" s="17">
        <v>0</v>
      </c>
      <c r="P12" s="17"/>
      <c r="Q12" s="102">
        <f>J12</f>
        <v>80</v>
      </c>
      <c r="R12" s="105">
        <f>IFERROR((O12-K12)/K12,"")</f>
        <v>-1</v>
      </c>
      <c r="S12" s="105" t="str">
        <f>IFERROR(Q12/P12,"")</f>
        <v/>
      </c>
      <c r="T12" s="17" t="s">
        <v>43</v>
      </c>
      <c r="U12" s="17" t="s">
        <v>44</v>
      </c>
      <c r="V12" s="17" t="s">
        <v>56</v>
      </c>
      <c r="W12" s="17" t="s">
        <v>46</v>
      </c>
    </row>
    <row r="13" spans="1:26" s="28" customFormat="1" ht="27" customHeight="1" x14ac:dyDescent="0.75">
      <c r="A13" s="13">
        <v>5</v>
      </c>
      <c r="B13" s="16" t="s">
        <v>57</v>
      </c>
      <c r="C13" s="143" t="s">
        <v>180</v>
      </c>
      <c r="D13" s="17" t="s">
        <v>58</v>
      </c>
      <c r="E13" s="18" t="s">
        <v>37</v>
      </c>
      <c r="F13" s="18">
        <v>0</v>
      </c>
      <c r="G13" s="17">
        <v>0</v>
      </c>
      <c r="H13" s="17">
        <v>0</v>
      </c>
      <c r="I13" s="18">
        <v>25</v>
      </c>
      <c r="J13" s="18">
        <v>40</v>
      </c>
      <c r="K13" s="18">
        <v>50</v>
      </c>
      <c r="L13" s="17"/>
      <c r="M13" s="17">
        <v>0</v>
      </c>
      <c r="N13" s="17"/>
      <c r="O13" s="17">
        <v>0</v>
      </c>
      <c r="P13" s="17"/>
      <c r="Q13" s="102">
        <f>J13</f>
        <v>40</v>
      </c>
      <c r="R13" s="103">
        <f>IFERROR((O13-K13)/K13,"")</f>
        <v>-1</v>
      </c>
      <c r="S13" s="105" t="str">
        <f>IFERROR(Q13/P13,"")</f>
        <v/>
      </c>
      <c r="T13" s="17" t="s">
        <v>43</v>
      </c>
      <c r="U13" s="17" t="s">
        <v>44</v>
      </c>
      <c r="V13" s="17" t="s">
        <v>56</v>
      </c>
      <c r="W13" s="17" t="s">
        <v>46</v>
      </c>
    </row>
    <row r="14" spans="1:26" s="28" customFormat="1" ht="27" customHeight="1" x14ac:dyDescent="0.75">
      <c r="A14" s="13">
        <v>6</v>
      </c>
      <c r="B14" s="16" t="s">
        <v>59</v>
      </c>
      <c r="C14" s="143" t="s">
        <v>181</v>
      </c>
      <c r="D14" s="17" t="s">
        <v>60</v>
      </c>
      <c r="E14" s="18" t="s">
        <v>37</v>
      </c>
      <c r="F14" s="18">
        <v>0</v>
      </c>
      <c r="G14" s="17">
        <v>0</v>
      </c>
      <c r="H14" s="17">
        <v>20</v>
      </c>
      <c r="I14" s="18">
        <v>30</v>
      </c>
      <c r="J14" s="18">
        <v>40</v>
      </c>
      <c r="K14" s="18">
        <v>50</v>
      </c>
      <c r="L14" s="17"/>
      <c r="M14" s="17">
        <v>0</v>
      </c>
      <c r="N14" s="17"/>
      <c r="O14" s="17"/>
      <c r="P14" s="17"/>
      <c r="Q14" s="102">
        <f>J14</f>
        <v>40</v>
      </c>
      <c r="R14" s="103" t="str">
        <f>IFERROR(1-(K14/O14),"")</f>
        <v/>
      </c>
      <c r="S14" s="105" t="str">
        <f>IFERROR(Q14/P14,"")</f>
        <v/>
      </c>
      <c r="T14" s="17" t="s">
        <v>43</v>
      </c>
      <c r="U14" s="17" t="s">
        <v>44</v>
      </c>
      <c r="V14" s="17" t="s">
        <v>56</v>
      </c>
      <c r="W14" s="17" t="s">
        <v>46</v>
      </c>
    </row>
    <row r="15" spans="1:26" s="28" customFormat="1" ht="17.25" customHeight="1" x14ac:dyDescent="0.75">
      <c r="A15" s="13"/>
      <c r="B15" s="15">
        <v>3</v>
      </c>
      <c r="C15" s="235"/>
      <c r="D15" s="221" t="s">
        <v>61</v>
      </c>
      <c r="E15" s="210"/>
      <c r="F15" s="210"/>
      <c r="G15" s="210"/>
      <c r="H15" s="210"/>
      <c r="I15" s="210"/>
      <c r="J15" s="210"/>
      <c r="K15" s="210"/>
      <c r="L15" s="210"/>
      <c r="M15" s="210"/>
      <c r="N15" s="210"/>
      <c r="O15" s="210"/>
      <c r="P15" s="210"/>
      <c r="Q15" s="210"/>
      <c r="R15" s="210"/>
      <c r="S15" s="210"/>
      <c r="T15" s="210"/>
      <c r="U15" s="210"/>
      <c r="V15" s="210"/>
      <c r="W15" s="125"/>
    </row>
    <row r="16" spans="1:26" s="29" customFormat="1" ht="26.25" customHeight="1" x14ac:dyDescent="0.75">
      <c r="A16" s="23">
        <v>7</v>
      </c>
      <c r="B16" s="24" t="s">
        <v>62</v>
      </c>
      <c r="C16" s="143" t="s">
        <v>182</v>
      </c>
      <c r="D16" s="25" t="s">
        <v>63</v>
      </c>
      <c r="E16" s="26" t="s">
        <v>50</v>
      </c>
      <c r="F16" s="25">
        <v>0</v>
      </c>
      <c r="G16" s="102">
        <v>2</v>
      </c>
      <c r="H16" s="102">
        <v>2</v>
      </c>
      <c r="I16" s="102">
        <v>2</v>
      </c>
      <c r="J16" s="102">
        <v>2</v>
      </c>
      <c r="K16" s="102">
        <v>2</v>
      </c>
      <c r="L16" s="106">
        <v>1</v>
      </c>
      <c r="M16" s="102"/>
      <c r="N16" s="102"/>
      <c r="O16" s="102"/>
      <c r="P16" s="102"/>
      <c r="Q16" s="102">
        <v>6</v>
      </c>
      <c r="R16" s="103">
        <f>O16</f>
        <v>0</v>
      </c>
      <c r="S16" s="105" t="str">
        <f>IFERROR(Q16/P16,"")</f>
        <v/>
      </c>
      <c r="T16" s="25" t="s">
        <v>43</v>
      </c>
      <c r="U16" s="25" t="s">
        <v>64</v>
      </c>
      <c r="V16" s="25" t="s">
        <v>65</v>
      </c>
      <c r="W16" s="25" t="s">
        <v>46</v>
      </c>
      <c r="X16" s="7"/>
      <c r="Y16" s="7"/>
      <c r="Z16" s="7"/>
    </row>
    <row r="17" spans="1:26" s="28" customFormat="1" ht="13.5" customHeight="1" x14ac:dyDescent="0.75">
      <c r="A17" s="13"/>
      <c r="B17" s="13"/>
      <c r="C17" s="235"/>
      <c r="D17" s="222" t="s">
        <v>66</v>
      </c>
      <c r="E17" s="210"/>
      <c r="F17" s="210"/>
      <c r="G17" s="210"/>
      <c r="H17" s="210"/>
      <c r="I17" s="210"/>
      <c r="J17" s="210"/>
      <c r="K17" s="210"/>
      <c r="L17" s="210"/>
      <c r="M17" s="210"/>
      <c r="N17" s="210"/>
      <c r="O17" s="210"/>
      <c r="P17" s="210"/>
      <c r="Q17" s="210"/>
      <c r="R17" s="210"/>
      <c r="S17" s="210"/>
      <c r="T17" s="210"/>
      <c r="U17" s="210"/>
      <c r="V17" s="210"/>
      <c r="W17" s="125"/>
    </row>
    <row r="18" spans="1:26" s="28" customFormat="1" ht="13.5" customHeight="1" x14ac:dyDescent="0.75">
      <c r="A18" s="13"/>
      <c r="B18" s="13"/>
      <c r="C18" s="235"/>
      <c r="D18" s="209" t="s">
        <v>67</v>
      </c>
      <c r="E18" s="210"/>
      <c r="F18" s="210"/>
      <c r="G18" s="210"/>
      <c r="H18" s="210"/>
      <c r="I18" s="210"/>
      <c r="J18" s="210"/>
      <c r="K18" s="210"/>
      <c r="L18" s="210"/>
      <c r="M18" s="210"/>
      <c r="N18" s="210"/>
      <c r="O18" s="210"/>
      <c r="P18" s="210"/>
      <c r="Q18" s="210"/>
      <c r="R18" s="210"/>
      <c r="S18" s="210"/>
      <c r="T18" s="210"/>
      <c r="U18" s="210"/>
      <c r="V18" s="210"/>
      <c r="W18" s="125"/>
    </row>
    <row r="19" spans="1:26" s="28" customFormat="1" ht="13.5" customHeight="1" x14ac:dyDescent="0.75">
      <c r="A19" s="13"/>
      <c r="B19" s="13" t="s">
        <v>10</v>
      </c>
      <c r="C19" s="235"/>
      <c r="D19" s="217" t="s">
        <v>68</v>
      </c>
      <c r="E19" s="210"/>
      <c r="F19" s="210"/>
      <c r="G19" s="210"/>
      <c r="H19" s="210"/>
      <c r="I19" s="210"/>
      <c r="J19" s="210"/>
      <c r="K19" s="210"/>
      <c r="L19" s="210"/>
      <c r="M19" s="210"/>
      <c r="N19" s="210"/>
      <c r="O19" s="210"/>
      <c r="P19" s="210"/>
      <c r="Q19" s="210"/>
      <c r="R19" s="210"/>
      <c r="S19" s="210"/>
      <c r="T19" s="210"/>
      <c r="U19" s="210"/>
      <c r="V19" s="210"/>
      <c r="W19" s="125"/>
    </row>
    <row r="20" spans="1:26" s="33" customFormat="1" ht="38.25" customHeight="1" x14ac:dyDescent="0.75">
      <c r="A20" s="30">
        <v>1</v>
      </c>
      <c r="B20" s="31" t="s">
        <v>69</v>
      </c>
      <c r="C20" s="143" t="s">
        <v>183</v>
      </c>
      <c r="D20" s="32" t="s">
        <v>70</v>
      </c>
      <c r="E20" s="26" t="s">
        <v>50</v>
      </c>
      <c r="F20" s="26">
        <v>0</v>
      </c>
      <c r="G20" s="107">
        <v>0</v>
      </c>
      <c r="H20" s="104">
        <v>6000</v>
      </c>
      <c r="I20" s="104">
        <v>36000</v>
      </c>
      <c r="J20" s="104">
        <v>30000</v>
      </c>
      <c r="K20" s="104">
        <v>18000</v>
      </c>
      <c r="L20" s="107"/>
      <c r="M20" s="103">
        <v>9160</v>
      </c>
      <c r="N20" s="103">
        <v>36026</v>
      </c>
      <c r="O20" s="104"/>
      <c r="P20" s="107"/>
      <c r="Q20" s="104">
        <v>300000</v>
      </c>
      <c r="R20" s="104">
        <f t="shared" ref="R20:R28" si="0">SUM(K20:O20)</f>
        <v>63186</v>
      </c>
      <c r="S20" s="108" t="str">
        <f t="shared" ref="S20:S28" si="1">IFERROR(Q20/P20,"")</f>
        <v/>
      </c>
      <c r="T20" s="26" t="s">
        <v>71</v>
      </c>
      <c r="U20" s="26" t="s">
        <v>44</v>
      </c>
      <c r="V20" s="26" t="s">
        <v>72</v>
      </c>
      <c r="W20" s="26" t="s">
        <v>46</v>
      </c>
      <c r="X20" s="7"/>
      <c r="Y20" s="7"/>
      <c r="Z20" s="7"/>
    </row>
    <row r="21" spans="1:26" s="33" customFormat="1" ht="28.5" customHeight="1" x14ac:dyDescent="0.75">
      <c r="A21" s="30">
        <v>2</v>
      </c>
      <c r="B21" s="31" t="s">
        <v>73</v>
      </c>
      <c r="C21" s="143" t="s">
        <v>184</v>
      </c>
      <c r="D21" s="34" t="s">
        <v>74</v>
      </c>
      <c r="E21" s="26" t="s">
        <v>50</v>
      </c>
      <c r="F21" s="26">
        <v>0</v>
      </c>
      <c r="G21" s="107">
        <v>0</v>
      </c>
      <c r="H21" s="104">
        <v>3000</v>
      </c>
      <c r="I21" s="104">
        <v>18000</v>
      </c>
      <c r="J21" s="104">
        <v>15000</v>
      </c>
      <c r="K21" s="104">
        <v>9000</v>
      </c>
      <c r="L21" s="107"/>
      <c r="M21" s="103">
        <v>5527</v>
      </c>
      <c r="N21" s="103">
        <v>22697</v>
      </c>
      <c r="O21" s="104"/>
      <c r="P21" s="107"/>
      <c r="Q21" s="104">
        <v>150000</v>
      </c>
      <c r="R21" s="104">
        <f t="shared" si="0"/>
        <v>37224</v>
      </c>
      <c r="S21" s="108" t="str">
        <f t="shared" si="1"/>
        <v/>
      </c>
      <c r="T21" s="26" t="s">
        <v>71</v>
      </c>
      <c r="U21" s="26" t="s">
        <v>44</v>
      </c>
      <c r="V21" s="26" t="s">
        <v>72</v>
      </c>
      <c r="W21" s="26" t="s">
        <v>46</v>
      </c>
      <c r="X21" s="7"/>
      <c r="Y21" s="7"/>
      <c r="Z21" s="7"/>
    </row>
    <row r="22" spans="1:26" s="98" customFormat="1" ht="30.75" customHeight="1" x14ac:dyDescent="0.75">
      <c r="A22" s="97">
        <v>3</v>
      </c>
      <c r="B22" s="93" t="s">
        <v>75</v>
      </c>
      <c r="C22" s="143" t="s">
        <v>185</v>
      </c>
      <c r="D22" s="19" t="s">
        <v>76</v>
      </c>
      <c r="E22" s="18" t="s">
        <v>50</v>
      </c>
      <c r="F22" s="18">
        <v>4</v>
      </c>
      <c r="G22" s="18">
        <v>4</v>
      </c>
      <c r="H22" s="35">
        <v>8</v>
      </c>
      <c r="I22" s="35">
        <v>10</v>
      </c>
      <c r="J22" s="35">
        <v>15</v>
      </c>
      <c r="K22" s="18">
        <v>20</v>
      </c>
      <c r="L22" s="18">
        <v>4</v>
      </c>
      <c r="M22" s="95">
        <v>16</v>
      </c>
      <c r="N22" s="95">
        <v>29</v>
      </c>
      <c r="O22" s="18"/>
      <c r="P22" s="18"/>
      <c r="Q22" s="107">
        <v>25</v>
      </c>
      <c r="R22" s="104">
        <f t="shared" si="0"/>
        <v>69</v>
      </c>
      <c r="S22" s="108" t="str">
        <f t="shared" si="1"/>
        <v/>
      </c>
      <c r="T22" s="18" t="s">
        <v>71</v>
      </c>
      <c r="U22" s="18" t="s">
        <v>44</v>
      </c>
      <c r="V22" s="18" t="s">
        <v>77</v>
      </c>
      <c r="W22" s="18" t="s">
        <v>46</v>
      </c>
    </row>
    <row r="23" spans="1:26" ht="33" customHeight="1" x14ac:dyDescent="0.65">
      <c r="A23" s="97">
        <v>4</v>
      </c>
      <c r="B23" s="93" t="s">
        <v>78</v>
      </c>
      <c r="C23" s="143" t="s">
        <v>186</v>
      </c>
      <c r="D23" s="19" t="s">
        <v>79</v>
      </c>
      <c r="E23" s="18" t="s">
        <v>50</v>
      </c>
      <c r="F23" s="18">
        <v>0</v>
      </c>
      <c r="G23" s="18">
        <v>0</v>
      </c>
      <c r="H23" s="35">
        <v>6000</v>
      </c>
      <c r="I23" s="35">
        <v>36000</v>
      </c>
      <c r="J23" s="35">
        <v>30000</v>
      </c>
      <c r="K23" s="35">
        <v>18000</v>
      </c>
      <c r="L23" s="18">
        <v>0</v>
      </c>
      <c r="M23" s="95">
        <v>9675</v>
      </c>
      <c r="N23" s="95">
        <v>65615</v>
      </c>
      <c r="O23" s="35"/>
      <c r="P23" s="18"/>
      <c r="Q23" s="104">
        <v>300000</v>
      </c>
      <c r="R23" s="104">
        <f t="shared" si="0"/>
        <v>93290</v>
      </c>
      <c r="S23" s="108" t="str">
        <f t="shared" si="1"/>
        <v/>
      </c>
      <c r="T23" s="18" t="s">
        <v>71</v>
      </c>
      <c r="U23" s="18" t="s">
        <v>80</v>
      </c>
      <c r="V23" s="18" t="s">
        <v>51</v>
      </c>
      <c r="W23" s="18" t="s">
        <v>46</v>
      </c>
    </row>
    <row r="24" spans="1:26" ht="30.75" customHeight="1" x14ac:dyDescent="0.65">
      <c r="A24" s="97">
        <v>5</v>
      </c>
      <c r="B24" s="93" t="s">
        <v>81</v>
      </c>
      <c r="C24" s="143" t="s">
        <v>187</v>
      </c>
      <c r="D24" s="94" t="s">
        <v>82</v>
      </c>
      <c r="E24" s="18" t="s">
        <v>50</v>
      </c>
      <c r="F24" s="18"/>
      <c r="G24" s="18">
        <v>0</v>
      </c>
      <c r="H24" s="35">
        <v>3000</v>
      </c>
      <c r="I24" s="35">
        <v>18000</v>
      </c>
      <c r="J24" s="35">
        <v>15000</v>
      </c>
      <c r="K24" s="35">
        <v>9000</v>
      </c>
      <c r="L24" s="18">
        <v>0</v>
      </c>
      <c r="M24" s="17">
        <v>5620</v>
      </c>
      <c r="N24" s="17">
        <v>40026</v>
      </c>
      <c r="O24" s="18"/>
      <c r="P24" s="18"/>
      <c r="Q24" s="104">
        <v>150000</v>
      </c>
      <c r="R24" s="104">
        <f t="shared" si="0"/>
        <v>54646</v>
      </c>
      <c r="S24" s="108" t="str">
        <f t="shared" si="1"/>
        <v/>
      </c>
      <c r="T24" s="18" t="s">
        <v>71</v>
      </c>
      <c r="U24" s="18" t="s">
        <v>80</v>
      </c>
      <c r="V24" s="18" t="s">
        <v>51</v>
      </c>
      <c r="W24" s="18" t="s">
        <v>46</v>
      </c>
    </row>
    <row r="25" spans="1:26" s="29" customFormat="1" ht="25.5" customHeight="1" x14ac:dyDescent="0.75">
      <c r="A25" s="30">
        <v>6</v>
      </c>
      <c r="B25" s="31" t="s">
        <v>83</v>
      </c>
      <c r="C25" s="143" t="s">
        <v>188</v>
      </c>
      <c r="D25" s="32" t="s">
        <v>84</v>
      </c>
      <c r="E25" s="26" t="s">
        <v>85</v>
      </c>
      <c r="F25" s="26">
        <v>0</v>
      </c>
      <c r="G25" s="107">
        <v>0</v>
      </c>
      <c r="H25" s="104">
        <v>3000</v>
      </c>
      <c r="I25" s="104">
        <v>18000</v>
      </c>
      <c r="J25" s="104">
        <v>15000</v>
      </c>
      <c r="K25" s="104">
        <v>9000</v>
      </c>
      <c r="L25" s="107">
        <v>0</v>
      </c>
      <c r="M25" s="104">
        <v>4580</v>
      </c>
      <c r="N25" s="103">
        <v>18013</v>
      </c>
      <c r="O25" s="104"/>
      <c r="P25" s="107"/>
      <c r="Q25" s="104">
        <v>150000</v>
      </c>
      <c r="R25" s="104">
        <f t="shared" si="0"/>
        <v>31593</v>
      </c>
      <c r="S25" s="108" t="str">
        <f t="shared" si="1"/>
        <v/>
      </c>
      <c r="T25" s="26" t="s">
        <v>43</v>
      </c>
      <c r="U25" s="26" t="s">
        <v>86</v>
      </c>
      <c r="V25" s="26" t="s">
        <v>87</v>
      </c>
      <c r="W25" s="26" t="s">
        <v>46</v>
      </c>
      <c r="X25" s="7"/>
      <c r="Y25" s="7"/>
      <c r="Z25" s="7"/>
    </row>
    <row r="26" spans="1:26" ht="12.75" customHeight="1" x14ac:dyDescent="0.65">
      <c r="A26" s="97">
        <v>7</v>
      </c>
      <c r="B26" s="93" t="s">
        <v>88</v>
      </c>
      <c r="C26" s="143" t="s">
        <v>189</v>
      </c>
      <c r="D26" s="19" t="s">
        <v>89</v>
      </c>
      <c r="E26" s="18" t="s">
        <v>50</v>
      </c>
      <c r="F26" s="18">
        <v>0</v>
      </c>
      <c r="G26" s="18"/>
      <c r="H26" s="35"/>
      <c r="I26" s="35"/>
      <c r="J26" s="35"/>
      <c r="K26" s="35"/>
      <c r="L26" s="18"/>
      <c r="M26" s="35"/>
      <c r="N26" s="95"/>
      <c r="O26" s="35"/>
      <c r="P26" s="18"/>
      <c r="Q26" s="104">
        <v>4</v>
      </c>
      <c r="R26" s="104">
        <f t="shared" si="0"/>
        <v>0</v>
      </c>
      <c r="S26" s="107" t="str">
        <f t="shared" si="1"/>
        <v/>
      </c>
      <c r="T26" s="18"/>
      <c r="U26" s="18"/>
      <c r="V26" s="18"/>
      <c r="W26" s="18"/>
    </row>
    <row r="27" spans="1:26" s="29" customFormat="1" ht="26.25" customHeight="1" x14ac:dyDescent="0.75">
      <c r="A27" s="23">
        <v>8</v>
      </c>
      <c r="B27" s="24" t="s">
        <v>90</v>
      </c>
      <c r="C27" s="143" t="s">
        <v>91</v>
      </c>
      <c r="D27" s="25" t="s">
        <v>91</v>
      </c>
      <c r="E27" s="26" t="s">
        <v>50</v>
      </c>
      <c r="F27" s="25">
        <v>0</v>
      </c>
      <c r="G27" s="102"/>
      <c r="H27" s="109">
        <v>6000</v>
      </c>
      <c r="I27" s="110">
        <v>36000</v>
      </c>
      <c r="J27" s="110">
        <v>30000</v>
      </c>
      <c r="K27" s="103">
        <v>18000</v>
      </c>
      <c r="L27" s="102"/>
      <c r="M27" s="102">
        <v>9160</v>
      </c>
      <c r="N27" s="103">
        <v>36026</v>
      </c>
      <c r="O27" s="102"/>
      <c r="P27" s="102"/>
      <c r="Q27" s="103">
        <v>600000</v>
      </c>
      <c r="R27" s="104">
        <f t="shared" si="0"/>
        <v>63186</v>
      </c>
      <c r="S27" s="105" t="str">
        <f t="shared" si="1"/>
        <v/>
      </c>
      <c r="T27" s="25"/>
      <c r="U27" s="25"/>
      <c r="V27" s="25"/>
      <c r="W27" s="25"/>
      <c r="X27" s="7"/>
      <c r="Y27" s="7"/>
      <c r="Z27" s="7"/>
    </row>
    <row r="28" spans="1:26" s="29" customFormat="1" ht="26.25" customHeight="1" x14ac:dyDescent="0.75">
      <c r="A28" s="23">
        <v>8</v>
      </c>
      <c r="B28" s="24" t="s">
        <v>92</v>
      </c>
      <c r="C28" s="143" t="s">
        <v>190</v>
      </c>
      <c r="D28" s="34" t="s">
        <v>93</v>
      </c>
      <c r="E28" s="26" t="s">
        <v>50</v>
      </c>
      <c r="F28" s="25"/>
      <c r="G28" s="102"/>
      <c r="H28" s="109">
        <v>3000</v>
      </c>
      <c r="I28" s="110">
        <v>18000</v>
      </c>
      <c r="J28" s="110">
        <v>15000</v>
      </c>
      <c r="K28" s="103">
        <v>9000</v>
      </c>
      <c r="L28" s="102"/>
      <c r="M28" s="103">
        <v>5527</v>
      </c>
      <c r="N28" s="103">
        <v>22697</v>
      </c>
      <c r="O28" s="111"/>
      <c r="P28" s="102"/>
      <c r="Q28" s="103">
        <v>300000</v>
      </c>
      <c r="R28" s="104">
        <f t="shared" si="0"/>
        <v>37224</v>
      </c>
      <c r="S28" s="105" t="str">
        <f t="shared" si="1"/>
        <v/>
      </c>
      <c r="T28" s="25"/>
      <c r="U28" s="25"/>
      <c r="V28" s="25"/>
      <c r="W28" s="25"/>
      <c r="X28" s="7"/>
      <c r="Y28" s="7"/>
      <c r="Z28" s="7"/>
    </row>
    <row r="29" spans="1:26" s="10" customFormat="1" ht="15" customHeight="1" x14ac:dyDescent="0.75">
      <c r="A29" s="13"/>
      <c r="B29" s="13"/>
      <c r="C29" s="238"/>
      <c r="D29" s="209" t="s">
        <v>94</v>
      </c>
      <c r="E29" s="210"/>
      <c r="F29" s="210"/>
      <c r="G29" s="210"/>
      <c r="H29" s="210"/>
      <c r="I29" s="210"/>
      <c r="J29" s="210"/>
      <c r="K29" s="210"/>
      <c r="L29" s="210"/>
      <c r="M29" s="210"/>
      <c r="N29" s="210"/>
      <c r="O29" s="210"/>
      <c r="P29" s="210"/>
      <c r="Q29" s="210"/>
      <c r="R29" s="210"/>
      <c r="S29" s="210"/>
      <c r="T29" s="210"/>
      <c r="U29" s="210"/>
      <c r="V29" s="210"/>
      <c r="W29" s="125"/>
    </row>
    <row r="30" spans="1:26" ht="14.25" customHeight="1" x14ac:dyDescent="0.75">
      <c r="A30" s="13"/>
      <c r="B30" s="13" t="s">
        <v>14</v>
      </c>
      <c r="C30" s="237"/>
      <c r="D30" s="217" t="s">
        <v>95</v>
      </c>
      <c r="E30" s="210"/>
      <c r="F30" s="210"/>
      <c r="G30" s="210"/>
      <c r="H30" s="210"/>
      <c r="I30" s="210"/>
      <c r="J30" s="210"/>
      <c r="K30" s="210"/>
      <c r="L30" s="210"/>
      <c r="M30" s="210"/>
      <c r="N30" s="210"/>
      <c r="O30" s="210"/>
      <c r="P30" s="210"/>
      <c r="Q30" s="210"/>
      <c r="R30" s="210"/>
      <c r="S30" s="210"/>
      <c r="T30" s="210"/>
      <c r="U30" s="210"/>
      <c r="V30" s="210"/>
      <c r="W30" s="125"/>
    </row>
    <row r="31" spans="1:26" ht="17.25" customHeight="1" x14ac:dyDescent="0.65">
      <c r="A31" s="13">
        <v>9</v>
      </c>
      <c r="B31" s="16" t="s">
        <v>96</v>
      </c>
      <c r="C31" s="143" t="s">
        <v>191</v>
      </c>
      <c r="D31" s="19" t="s">
        <v>97</v>
      </c>
      <c r="E31" s="18" t="s">
        <v>98</v>
      </c>
      <c r="F31" s="18">
        <v>0</v>
      </c>
      <c r="G31" s="18">
        <v>0</v>
      </c>
      <c r="H31" s="18">
        <v>0</v>
      </c>
      <c r="I31" s="18">
        <v>60</v>
      </c>
      <c r="J31" s="18">
        <v>360</v>
      </c>
      <c r="K31" s="18">
        <v>300</v>
      </c>
      <c r="L31" s="18"/>
      <c r="M31" s="18">
        <v>0</v>
      </c>
      <c r="N31" s="18">
        <v>0</v>
      </c>
      <c r="O31" s="35"/>
      <c r="P31" s="19"/>
      <c r="Q31" s="112">
        <v>400</v>
      </c>
      <c r="R31" s="101">
        <f>O31</f>
        <v>0</v>
      </c>
      <c r="S31" s="100" t="str">
        <f>IFERROR(Q31/P31,"")</f>
        <v/>
      </c>
      <c r="T31" s="18" t="s">
        <v>43</v>
      </c>
      <c r="U31" s="18" t="s">
        <v>99</v>
      </c>
      <c r="V31" s="18" t="s">
        <v>100</v>
      </c>
      <c r="W31" s="18" t="s">
        <v>101</v>
      </c>
    </row>
    <row r="32" spans="1:26" ht="17.25" customHeight="1" x14ac:dyDescent="0.65">
      <c r="A32" s="13">
        <v>10</v>
      </c>
      <c r="B32" s="16" t="s">
        <v>102</v>
      </c>
      <c r="C32" s="143" t="s">
        <v>192</v>
      </c>
      <c r="D32" s="17" t="s">
        <v>103</v>
      </c>
      <c r="E32" s="18" t="s">
        <v>50</v>
      </c>
      <c r="F32" s="18">
        <v>0</v>
      </c>
      <c r="G32" s="18">
        <v>0</v>
      </c>
      <c r="H32" s="18">
        <v>0</v>
      </c>
      <c r="I32" s="18">
        <v>8</v>
      </c>
      <c r="J32" s="18">
        <v>15</v>
      </c>
      <c r="K32" s="18">
        <v>22</v>
      </c>
      <c r="L32" s="18"/>
      <c r="M32" s="18">
        <v>0</v>
      </c>
      <c r="N32" s="18">
        <v>0</v>
      </c>
      <c r="O32" s="18"/>
      <c r="P32" s="18"/>
      <c r="Q32" s="107">
        <v>16</v>
      </c>
      <c r="R32" s="104">
        <f>O32</f>
        <v>0</v>
      </c>
      <c r="S32" s="108" t="str">
        <f>IFERROR(Q32/P32,"")</f>
        <v/>
      </c>
      <c r="T32" s="18" t="s">
        <v>43</v>
      </c>
      <c r="U32" s="18" t="s">
        <v>99</v>
      </c>
      <c r="V32" s="18" t="s">
        <v>100</v>
      </c>
      <c r="W32" s="18" t="s">
        <v>101</v>
      </c>
    </row>
    <row r="33" spans="1:26" s="29" customFormat="1" ht="22.5" customHeight="1" x14ac:dyDescent="0.75">
      <c r="A33" s="23">
        <v>11</v>
      </c>
      <c r="B33" s="24" t="s">
        <v>104</v>
      </c>
      <c r="C33" s="143" t="s">
        <v>193</v>
      </c>
      <c r="D33" s="148" t="s">
        <v>194</v>
      </c>
      <c r="E33" s="148" t="s">
        <v>50</v>
      </c>
      <c r="F33" s="26">
        <v>0</v>
      </c>
      <c r="G33" s="107"/>
      <c r="H33" s="107"/>
      <c r="I33" s="107"/>
      <c r="J33" s="107"/>
      <c r="K33" s="107"/>
      <c r="L33" s="107"/>
      <c r="M33" s="107"/>
      <c r="N33" s="107"/>
      <c r="O33" s="107"/>
      <c r="P33" s="107"/>
      <c r="Q33" s="107">
        <v>4</v>
      </c>
      <c r="R33" s="104"/>
      <c r="S33" s="108"/>
      <c r="T33" s="26"/>
      <c r="U33" s="26"/>
      <c r="V33" s="26"/>
      <c r="W33" s="26"/>
      <c r="X33" s="7"/>
      <c r="Y33" s="7"/>
      <c r="Z33" s="7"/>
    </row>
    <row r="34" spans="1:26" ht="24" customHeight="1" x14ac:dyDescent="0.65">
      <c r="A34" s="13">
        <v>12</v>
      </c>
      <c r="B34" s="16" t="s">
        <v>107</v>
      </c>
      <c r="C34" s="143" t="s">
        <v>195</v>
      </c>
      <c r="D34" s="19" t="s">
        <v>108</v>
      </c>
      <c r="E34" s="18" t="s">
        <v>85</v>
      </c>
      <c r="F34" s="18">
        <v>0</v>
      </c>
      <c r="G34" s="18"/>
      <c r="H34" s="18"/>
      <c r="I34" s="18"/>
      <c r="J34" s="18"/>
      <c r="K34" s="18"/>
      <c r="L34" s="18"/>
      <c r="M34" s="18"/>
      <c r="N34" s="18"/>
      <c r="O34" s="35"/>
      <c r="P34" s="19"/>
      <c r="Q34" s="112">
        <v>300</v>
      </c>
      <c r="R34" s="101">
        <f>O34</f>
        <v>0</v>
      </c>
      <c r="S34" s="100" t="str">
        <f>IFERROR(Q34/P34,"")</f>
        <v/>
      </c>
      <c r="T34" s="18"/>
      <c r="U34" s="18"/>
      <c r="V34" s="18"/>
      <c r="W34" s="17"/>
    </row>
    <row r="35" spans="1:26" ht="19.5" customHeight="1" x14ac:dyDescent="0.75">
      <c r="A35" s="13"/>
      <c r="B35" s="13" t="s">
        <v>16</v>
      </c>
      <c r="C35" s="237"/>
      <c r="D35" s="228" t="s">
        <v>109</v>
      </c>
      <c r="E35" s="210"/>
      <c r="F35" s="210"/>
      <c r="G35" s="210"/>
      <c r="H35" s="210"/>
      <c r="I35" s="210"/>
      <c r="J35" s="210"/>
      <c r="K35" s="210"/>
      <c r="L35" s="210"/>
      <c r="M35" s="210"/>
      <c r="N35" s="210"/>
      <c r="O35" s="210"/>
      <c r="P35" s="210"/>
      <c r="Q35" s="210"/>
      <c r="R35" s="210"/>
      <c r="S35" s="210"/>
      <c r="T35" s="210"/>
      <c r="U35" s="210"/>
      <c r="V35" s="210"/>
      <c r="W35" s="125"/>
    </row>
    <row r="36" spans="1:26" ht="21" customHeight="1" x14ac:dyDescent="0.65">
      <c r="A36" s="13">
        <v>13</v>
      </c>
      <c r="B36" s="93" t="s">
        <v>110</v>
      </c>
      <c r="C36" s="143" t="s">
        <v>196</v>
      </c>
      <c r="D36" s="19" t="s">
        <v>111</v>
      </c>
      <c r="E36" s="18" t="s">
        <v>50</v>
      </c>
      <c r="F36" s="18">
        <v>0</v>
      </c>
      <c r="G36" s="18">
        <v>0</v>
      </c>
      <c r="H36" s="35">
        <v>6000</v>
      </c>
      <c r="I36" s="35">
        <v>36000</v>
      </c>
      <c r="J36" s="35">
        <v>30000</v>
      </c>
      <c r="K36" s="35">
        <v>18000</v>
      </c>
      <c r="L36" s="18"/>
      <c r="M36" s="35">
        <v>0</v>
      </c>
      <c r="N36" s="35">
        <v>0</v>
      </c>
      <c r="O36" s="35"/>
      <c r="P36" s="18"/>
      <c r="Q36" s="104">
        <v>300000</v>
      </c>
      <c r="R36" s="104">
        <f t="shared" ref="R36:R45" si="2">O36</f>
        <v>0</v>
      </c>
      <c r="S36" s="108" t="str">
        <f t="shared" ref="S36:S45" si="3">IFERROR(Q36/P36,"")</f>
        <v/>
      </c>
    </row>
    <row r="37" spans="1:26" ht="28.5" customHeight="1" x14ac:dyDescent="0.65">
      <c r="A37" s="13">
        <v>14</v>
      </c>
      <c r="B37" s="93" t="s">
        <v>112</v>
      </c>
      <c r="C37" s="143" t="s">
        <v>197</v>
      </c>
      <c r="D37" s="94" t="s">
        <v>113</v>
      </c>
      <c r="E37" s="18"/>
      <c r="F37" s="18"/>
      <c r="G37" s="18"/>
      <c r="H37" s="35">
        <v>3000</v>
      </c>
      <c r="I37" s="35">
        <v>18000</v>
      </c>
      <c r="J37" s="35">
        <v>15000</v>
      </c>
      <c r="K37" s="35">
        <v>9000</v>
      </c>
      <c r="L37" s="18"/>
      <c r="M37" s="18">
        <v>0</v>
      </c>
      <c r="N37" s="18">
        <v>0</v>
      </c>
      <c r="O37" s="18"/>
      <c r="P37" s="18"/>
      <c r="Q37" s="104">
        <v>150000</v>
      </c>
      <c r="R37" s="104">
        <f t="shared" si="2"/>
        <v>0</v>
      </c>
      <c r="S37" s="108" t="str">
        <f t="shared" si="3"/>
        <v/>
      </c>
      <c r="T37" s="18" t="s">
        <v>71</v>
      </c>
      <c r="U37" s="18" t="s">
        <v>114</v>
      </c>
      <c r="V37" s="18" t="s">
        <v>115</v>
      </c>
      <c r="W37" s="18" t="s">
        <v>116</v>
      </c>
    </row>
    <row r="38" spans="1:26" ht="19.5" customHeight="1" x14ac:dyDescent="0.65">
      <c r="A38" s="13">
        <v>15</v>
      </c>
      <c r="B38" s="16" t="s">
        <v>117</v>
      </c>
      <c r="C38" s="143" t="s">
        <v>198</v>
      </c>
      <c r="D38" s="17" t="s">
        <v>118</v>
      </c>
      <c r="E38" s="18" t="s">
        <v>50</v>
      </c>
      <c r="F38" s="18">
        <v>0</v>
      </c>
      <c r="G38" s="18">
        <v>0</v>
      </c>
      <c r="H38" s="18">
        <v>0</v>
      </c>
      <c r="I38" s="18">
        <v>180</v>
      </c>
      <c r="J38" s="18">
        <v>180</v>
      </c>
      <c r="K38" s="18">
        <v>180</v>
      </c>
      <c r="L38" s="18"/>
      <c r="M38" s="18">
        <v>95</v>
      </c>
      <c r="N38" s="18">
        <v>890</v>
      </c>
      <c r="O38" s="18"/>
      <c r="P38" s="18"/>
      <c r="Q38" s="107">
        <v>600</v>
      </c>
      <c r="R38" s="104">
        <f t="shared" si="2"/>
        <v>0</v>
      </c>
      <c r="S38" s="108" t="str">
        <f t="shared" si="3"/>
        <v/>
      </c>
      <c r="T38" s="18" t="s">
        <v>119</v>
      </c>
      <c r="U38" s="18" t="s">
        <v>44</v>
      </c>
      <c r="V38" s="18" t="s">
        <v>120</v>
      </c>
      <c r="W38" s="18" t="s">
        <v>46</v>
      </c>
    </row>
    <row r="39" spans="1:26" ht="24" customHeight="1" x14ac:dyDescent="0.65">
      <c r="A39" s="13">
        <v>16</v>
      </c>
      <c r="B39" s="16" t="s">
        <v>121</v>
      </c>
      <c r="C39" s="143" t="s">
        <v>199</v>
      </c>
      <c r="D39" s="17" t="s">
        <v>122</v>
      </c>
      <c r="E39" s="18" t="s">
        <v>123</v>
      </c>
      <c r="F39" s="35">
        <v>0</v>
      </c>
      <c r="G39" s="35">
        <v>0</v>
      </c>
      <c r="H39" s="35">
        <v>0</v>
      </c>
      <c r="I39" s="35">
        <v>1200000</v>
      </c>
      <c r="J39" s="35">
        <v>900000</v>
      </c>
      <c r="K39" s="35">
        <v>1200000</v>
      </c>
      <c r="L39" s="35"/>
      <c r="M39" s="35">
        <v>0</v>
      </c>
      <c r="N39" s="35">
        <v>0</v>
      </c>
      <c r="O39" s="35"/>
      <c r="P39" s="18"/>
      <c r="Q39" s="104">
        <v>4000000</v>
      </c>
      <c r="R39" s="104">
        <f t="shared" si="2"/>
        <v>0</v>
      </c>
      <c r="S39" s="108" t="str">
        <f t="shared" si="3"/>
        <v/>
      </c>
      <c r="T39" s="18" t="s">
        <v>119</v>
      </c>
      <c r="U39" s="18" t="s">
        <v>124</v>
      </c>
      <c r="V39" s="18" t="s">
        <v>125</v>
      </c>
      <c r="W39" s="18" t="s">
        <v>126</v>
      </c>
    </row>
    <row r="40" spans="1:26" ht="19.5" customHeight="1" x14ac:dyDescent="0.65">
      <c r="A40" s="13">
        <v>17</v>
      </c>
      <c r="B40" s="93" t="s">
        <v>127</v>
      </c>
      <c r="C40" s="143" t="s">
        <v>200</v>
      </c>
      <c r="D40" s="19" t="s">
        <v>128</v>
      </c>
      <c r="E40" s="18" t="s">
        <v>50</v>
      </c>
      <c r="F40" s="18">
        <v>0</v>
      </c>
      <c r="G40" s="18">
        <v>0</v>
      </c>
      <c r="H40" s="35">
        <v>10</v>
      </c>
      <c r="I40" s="35">
        <v>30</v>
      </c>
      <c r="J40" s="35">
        <v>70</v>
      </c>
      <c r="K40" s="35">
        <v>100</v>
      </c>
      <c r="L40" s="18"/>
      <c r="M40" s="35">
        <v>0</v>
      </c>
      <c r="N40" s="35">
        <v>0</v>
      </c>
      <c r="O40" s="35"/>
      <c r="P40" s="18"/>
      <c r="Q40" s="104">
        <v>50</v>
      </c>
      <c r="R40" s="104">
        <f t="shared" si="2"/>
        <v>0</v>
      </c>
      <c r="S40" s="108" t="str">
        <f t="shared" si="3"/>
        <v/>
      </c>
      <c r="T40" s="18" t="s">
        <v>43</v>
      </c>
      <c r="U40" s="18" t="s">
        <v>129</v>
      </c>
      <c r="V40" s="18" t="s">
        <v>130</v>
      </c>
      <c r="W40" s="18" t="s">
        <v>131</v>
      </c>
    </row>
    <row r="41" spans="1:26" ht="21" customHeight="1" x14ac:dyDescent="0.65">
      <c r="A41" s="13">
        <v>17</v>
      </c>
      <c r="B41" s="93" t="s">
        <v>132</v>
      </c>
      <c r="C41" s="143" t="s">
        <v>201</v>
      </c>
      <c r="D41" s="94" t="s">
        <v>133</v>
      </c>
      <c r="E41" s="18" t="s">
        <v>37</v>
      </c>
      <c r="F41" s="18">
        <v>0</v>
      </c>
      <c r="G41" s="18"/>
      <c r="H41" s="35"/>
      <c r="I41" s="35"/>
      <c r="J41" s="35"/>
      <c r="K41" s="35"/>
      <c r="L41" s="18"/>
      <c r="M41" s="35"/>
      <c r="N41" s="35"/>
      <c r="O41" s="35"/>
      <c r="P41" s="18"/>
      <c r="Q41" s="146">
        <v>50</v>
      </c>
      <c r="R41" s="104">
        <f t="shared" si="2"/>
        <v>0</v>
      </c>
      <c r="S41" s="108" t="str">
        <f t="shared" si="3"/>
        <v/>
      </c>
      <c r="T41" s="18"/>
      <c r="U41" s="18"/>
      <c r="V41" s="18"/>
      <c r="W41" s="18"/>
    </row>
    <row r="42" spans="1:26" ht="19.5" customHeight="1" x14ac:dyDescent="0.65">
      <c r="A42" s="13">
        <v>18</v>
      </c>
      <c r="B42" s="93" t="s">
        <v>134</v>
      </c>
      <c r="C42" s="143" t="s">
        <v>202</v>
      </c>
      <c r="D42" s="19" t="s">
        <v>135</v>
      </c>
      <c r="E42" s="18" t="s">
        <v>50</v>
      </c>
      <c r="F42" s="18">
        <v>0</v>
      </c>
      <c r="G42" s="18">
        <v>0</v>
      </c>
      <c r="H42" s="35">
        <v>6000</v>
      </c>
      <c r="I42" s="35">
        <v>36000</v>
      </c>
      <c r="J42" s="35">
        <v>30000</v>
      </c>
      <c r="K42" s="35">
        <v>18000</v>
      </c>
      <c r="L42" s="18"/>
      <c r="M42" s="35">
        <v>0</v>
      </c>
      <c r="N42" s="95">
        <v>37645</v>
      </c>
      <c r="O42" s="35"/>
      <c r="P42" s="18"/>
      <c r="Q42" s="104">
        <v>300000</v>
      </c>
      <c r="R42" s="104">
        <f t="shared" si="2"/>
        <v>0</v>
      </c>
      <c r="S42" s="108" t="str">
        <f t="shared" si="3"/>
        <v/>
      </c>
      <c r="T42" s="18"/>
      <c r="U42" s="18"/>
      <c r="V42" s="18"/>
      <c r="W42" s="18"/>
    </row>
    <row r="43" spans="1:26" ht="21" customHeight="1" x14ac:dyDescent="0.65">
      <c r="A43" s="13">
        <v>18</v>
      </c>
      <c r="B43" s="93" t="s">
        <v>136</v>
      </c>
      <c r="C43" s="143" t="s">
        <v>203</v>
      </c>
      <c r="D43" s="94" t="s">
        <v>137</v>
      </c>
      <c r="E43" s="18" t="s">
        <v>50</v>
      </c>
      <c r="F43" s="18">
        <v>0</v>
      </c>
      <c r="G43" s="18"/>
      <c r="H43" s="35"/>
      <c r="I43" s="35"/>
      <c r="J43" s="35"/>
      <c r="K43" s="35"/>
      <c r="L43" s="18"/>
      <c r="M43" s="35"/>
      <c r="N43" s="95"/>
      <c r="O43" s="35"/>
      <c r="P43" s="18"/>
      <c r="Q43" s="104">
        <v>150000</v>
      </c>
      <c r="R43" s="104">
        <f t="shared" si="2"/>
        <v>0</v>
      </c>
      <c r="S43" s="108" t="str">
        <f t="shared" si="3"/>
        <v/>
      </c>
      <c r="T43" s="18" t="s">
        <v>43</v>
      </c>
      <c r="U43" s="18" t="s">
        <v>44</v>
      </c>
      <c r="V43" s="18" t="s">
        <v>138</v>
      </c>
      <c r="W43" s="18" t="s">
        <v>46</v>
      </c>
    </row>
    <row r="44" spans="1:26" ht="28.5" customHeight="1" x14ac:dyDescent="0.65">
      <c r="A44" s="13">
        <v>19</v>
      </c>
      <c r="B44" s="93" t="s">
        <v>139</v>
      </c>
      <c r="C44" s="143" t="s">
        <v>204</v>
      </c>
      <c r="D44" s="19" t="s">
        <v>140</v>
      </c>
      <c r="E44" s="18" t="s">
        <v>50</v>
      </c>
      <c r="F44" s="18">
        <v>0</v>
      </c>
      <c r="G44" s="18"/>
      <c r="H44" s="35"/>
      <c r="I44" s="35"/>
      <c r="J44" s="35"/>
      <c r="K44" s="35"/>
      <c r="L44" s="18"/>
      <c r="M44" s="35"/>
      <c r="N44" s="35"/>
      <c r="O44" s="35"/>
      <c r="P44" s="18"/>
      <c r="Q44" s="104">
        <v>100000</v>
      </c>
      <c r="R44" s="104">
        <f t="shared" si="2"/>
        <v>0</v>
      </c>
      <c r="S44" s="108" t="str">
        <f t="shared" si="3"/>
        <v/>
      </c>
      <c r="T44" s="18"/>
      <c r="U44" s="18"/>
      <c r="V44" s="18"/>
      <c r="W44" s="18"/>
    </row>
    <row r="45" spans="1:26" ht="19.5" customHeight="1" x14ac:dyDescent="0.65">
      <c r="A45" s="13">
        <v>20</v>
      </c>
      <c r="B45" s="93" t="s">
        <v>141</v>
      </c>
      <c r="C45" s="143" t="s">
        <v>205</v>
      </c>
      <c r="D45" s="17" t="s">
        <v>142</v>
      </c>
      <c r="E45" s="18" t="s">
        <v>50</v>
      </c>
      <c r="F45" s="17"/>
      <c r="G45" s="18"/>
      <c r="H45" s="35">
        <v>50</v>
      </c>
      <c r="I45" s="35">
        <v>100</v>
      </c>
      <c r="J45" s="35">
        <v>200</v>
      </c>
      <c r="K45" s="35">
        <v>300</v>
      </c>
      <c r="L45" s="17"/>
      <c r="M45" s="18">
        <v>0</v>
      </c>
      <c r="N45" s="18">
        <v>0</v>
      </c>
      <c r="O45" s="17"/>
      <c r="P45" s="17"/>
      <c r="Q45" s="103">
        <f>J45</f>
        <v>200</v>
      </c>
      <c r="R45" s="103">
        <f t="shared" si="2"/>
        <v>0</v>
      </c>
      <c r="S45" s="105" t="str">
        <f t="shared" si="3"/>
        <v/>
      </c>
      <c r="T45" s="18"/>
      <c r="U45" s="18"/>
      <c r="V45" s="18"/>
      <c r="W45" s="18"/>
    </row>
    <row r="46" spans="1:26" ht="17.25" customHeight="1" x14ac:dyDescent="0.75">
      <c r="A46" s="13"/>
      <c r="B46" s="13"/>
      <c r="C46" s="237"/>
      <c r="D46" s="209" t="s">
        <v>143</v>
      </c>
      <c r="E46" s="210"/>
      <c r="F46" s="210"/>
      <c r="G46" s="210"/>
      <c r="H46" s="210"/>
      <c r="I46" s="210"/>
      <c r="J46" s="210"/>
      <c r="K46" s="210"/>
      <c r="L46" s="210"/>
      <c r="M46" s="210"/>
      <c r="N46" s="210"/>
      <c r="O46" s="210"/>
      <c r="P46" s="210"/>
      <c r="Q46" s="210"/>
      <c r="R46" s="210"/>
      <c r="S46" s="210"/>
      <c r="T46" s="210"/>
      <c r="U46" s="210"/>
      <c r="V46" s="210"/>
      <c r="W46" s="125"/>
    </row>
    <row r="47" spans="1:26" ht="15" customHeight="1" x14ac:dyDescent="0.75">
      <c r="A47" s="13"/>
      <c r="B47" s="13" t="s">
        <v>20</v>
      </c>
      <c r="C47" s="237"/>
      <c r="D47" s="217" t="s">
        <v>144</v>
      </c>
      <c r="E47" s="210"/>
      <c r="F47" s="210"/>
      <c r="G47" s="210"/>
      <c r="H47" s="210"/>
      <c r="I47" s="210"/>
      <c r="J47" s="210"/>
      <c r="K47" s="210"/>
      <c r="L47" s="210"/>
      <c r="M47" s="210"/>
      <c r="N47" s="210"/>
      <c r="O47" s="210"/>
      <c r="P47" s="210"/>
      <c r="Q47" s="210"/>
      <c r="R47" s="210"/>
      <c r="S47" s="210"/>
      <c r="T47" s="210"/>
      <c r="U47" s="210"/>
      <c r="V47" s="210"/>
      <c r="W47" s="125"/>
    </row>
    <row r="48" spans="1:26" ht="19.5" customHeight="1" x14ac:dyDescent="0.65">
      <c r="A48" s="13">
        <v>21</v>
      </c>
      <c r="B48" s="16" t="s">
        <v>145</v>
      </c>
      <c r="C48" s="143" t="s">
        <v>206</v>
      </c>
      <c r="D48" s="17" t="s">
        <v>146</v>
      </c>
      <c r="E48" s="18" t="s">
        <v>37</v>
      </c>
      <c r="F48" s="35">
        <v>0</v>
      </c>
      <c r="G48" s="35">
        <v>0</v>
      </c>
      <c r="H48" s="35">
        <v>100</v>
      </c>
      <c r="I48" s="35">
        <v>100</v>
      </c>
      <c r="J48" s="35">
        <v>100</v>
      </c>
      <c r="K48" s="35">
        <v>100</v>
      </c>
      <c r="L48" s="35"/>
      <c r="M48" s="35">
        <v>100</v>
      </c>
      <c r="N48" s="35">
        <v>100</v>
      </c>
      <c r="O48" s="35"/>
      <c r="P48" s="18"/>
      <c r="Q48" s="104">
        <f>J48</f>
        <v>100</v>
      </c>
      <c r="R48" s="104">
        <f t="shared" ref="R48:R53" si="4">O48</f>
        <v>0</v>
      </c>
      <c r="S48" s="108" t="str">
        <f>IFERROR(Q48/P48,"")</f>
        <v/>
      </c>
      <c r="T48" s="18" t="s">
        <v>43</v>
      </c>
      <c r="U48" s="18" t="s">
        <v>147</v>
      </c>
      <c r="V48" s="18" t="s">
        <v>148</v>
      </c>
      <c r="W48" s="18" t="s">
        <v>149</v>
      </c>
    </row>
    <row r="49" spans="1:26" ht="15" customHeight="1" x14ac:dyDescent="0.65">
      <c r="A49" s="13">
        <v>22</v>
      </c>
      <c r="B49" s="16" t="s">
        <v>150</v>
      </c>
      <c r="C49" s="143" t="s">
        <v>207</v>
      </c>
      <c r="D49" s="17" t="s">
        <v>151</v>
      </c>
      <c r="E49" s="18" t="s">
        <v>50</v>
      </c>
      <c r="F49" s="35">
        <v>0</v>
      </c>
      <c r="G49" s="35">
        <v>0</v>
      </c>
      <c r="H49" s="35">
        <v>0</v>
      </c>
      <c r="I49" s="35">
        <v>1</v>
      </c>
      <c r="J49" s="35">
        <v>2</v>
      </c>
      <c r="K49" s="35">
        <v>1</v>
      </c>
      <c r="L49" s="35"/>
      <c r="M49" s="35">
        <v>0</v>
      </c>
      <c r="N49" s="35">
        <v>0</v>
      </c>
      <c r="O49" s="35"/>
      <c r="P49" s="18"/>
      <c r="Q49" s="104">
        <v>2</v>
      </c>
      <c r="R49" s="104">
        <f t="shared" si="4"/>
        <v>0</v>
      </c>
      <c r="S49" s="108" t="str">
        <f>IFERROR(Q49/P49,"")</f>
        <v/>
      </c>
    </row>
    <row r="50" spans="1:26" ht="19.5" customHeight="1" x14ac:dyDescent="0.65">
      <c r="A50" s="13">
        <v>23</v>
      </c>
      <c r="B50" s="16" t="s">
        <v>152</v>
      </c>
      <c r="C50" s="143" t="s">
        <v>208</v>
      </c>
      <c r="D50" s="17" t="s">
        <v>153</v>
      </c>
      <c r="E50" s="18" t="s">
        <v>50</v>
      </c>
      <c r="F50" s="35">
        <v>0</v>
      </c>
      <c r="G50" s="35">
        <v>0</v>
      </c>
      <c r="H50" s="35">
        <v>3</v>
      </c>
      <c r="I50" s="35">
        <v>8</v>
      </c>
      <c r="J50" s="35">
        <v>18</v>
      </c>
      <c r="K50" s="35">
        <v>28</v>
      </c>
      <c r="L50" s="35"/>
      <c r="M50" s="35">
        <v>0</v>
      </c>
      <c r="N50" s="35">
        <v>0</v>
      </c>
      <c r="O50" s="35"/>
      <c r="P50" s="18"/>
      <c r="Q50" s="104">
        <v>7</v>
      </c>
      <c r="R50" s="104">
        <f t="shared" si="4"/>
        <v>0</v>
      </c>
      <c r="S50" s="108" t="str">
        <f>IFERROR(Q50/P50,"")</f>
        <v/>
      </c>
      <c r="T50" s="18" t="s">
        <v>43</v>
      </c>
      <c r="U50" s="18" t="s">
        <v>154</v>
      </c>
      <c r="V50" s="18" t="s">
        <v>155</v>
      </c>
      <c r="W50" s="18" t="s">
        <v>46</v>
      </c>
    </row>
    <row r="51" spans="1:26" ht="19.5" customHeight="1" x14ac:dyDescent="0.65">
      <c r="A51" s="13">
        <v>24</v>
      </c>
      <c r="B51" s="16" t="s">
        <v>156</v>
      </c>
      <c r="C51" s="143" t="s">
        <v>209</v>
      </c>
      <c r="D51" s="17" t="s">
        <v>157</v>
      </c>
      <c r="E51" s="18" t="s">
        <v>106</v>
      </c>
      <c r="F51" s="35" t="s">
        <v>158</v>
      </c>
      <c r="G51" s="35" t="s">
        <v>159</v>
      </c>
      <c r="H51" s="35" t="s">
        <v>159</v>
      </c>
      <c r="I51" s="35" t="s">
        <v>159</v>
      </c>
      <c r="J51" s="35" t="s">
        <v>159</v>
      </c>
      <c r="K51" s="35" t="s">
        <v>159</v>
      </c>
      <c r="L51" s="35" t="s">
        <v>159</v>
      </c>
      <c r="M51" s="35" t="s">
        <v>159</v>
      </c>
      <c r="N51" s="35" t="s">
        <v>159</v>
      </c>
      <c r="O51" s="35"/>
      <c r="P51" s="18"/>
      <c r="Q51" s="104" t="str">
        <f>J51</f>
        <v>Oui</v>
      </c>
      <c r="R51" s="104">
        <f t="shared" si="4"/>
        <v>0</v>
      </c>
      <c r="S51" s="20"/>
      <c r="T51" s="18" t="s">
        <v>43</v>
      </c>
      <c r="U51" s="18" t="s">
        <v>160</v>
      </c>
      <c r="V51" s="18" t="s">
        <v>161</v>
      </c>
      <c r="W51" s="18" t="s">
        <v>162</v>
      </c>
    </row>
    <row r="52" spans="1:26" ht="19.5" customHeight="1" x14ac:dyDescent="0.65">
      <c r="A52" s="13">
        <v>25</v>
      </c>
      <c r="B52" s="16" t="s">
        <v>163</v>
      </c>
      <c r="C52" s="143" t="s">
        <v>210</v>
      </c>
      <c r="D52" s="19" t="s">
        <v>164</v>
      </c>
      <c r="E52" s="18" t="s">
        <v>37</v>
      </c>
      <c r="F52" s="18">
        <v>0</v>
      </c>
      <c r="G52" s="18">
        <v>100</v>
      </c>
      <c r="H52" s="18">
        <v>100</v>
      </c>
      <c r="I52" s="18">
        <v>100</v>
      </c>
      <c r="J52" s="18">
        <v>100</v>
      </c>
      <c r="K52" s="18">
        <v>100</v>
      </c>
      <c r="L52" s="18"/>
      <c r="M52" s="18">
        <v>100</v>
      </c>
      <c r="N52" s="18">
        <v>100</v>
      </c>
      <c r="O52" s="18"/>
      <c r="P52" s="19"/>
      <c r="Q52" s="112">
        <f>J52</f>
        <v>100</v>
      </c>
      <c r="R52" s="101">
        <f t="shared" si="4"/>
        <v>0</v>
      </c>
      <c r="S52" s="100" t="str">
        <f>IFERROR(Q52/P52,"")</f>
        <v/>
      </c>
      <c r="T52" s="18" t="s">
        <v>71</v>
      </c>
      <c r="U52" s="18" t="s">
        <v>165</v>
      </c>
      <c r="V52" s="18" t="s">
        <v>166</v>
      </c>
      <c r="W52" s="18" t="s">
        <v>167</v>
      </c>
    </row>
    <row r="53" spans="1:26" ht="19.5" customHeight="1" x14ac:dyDescent="0.65">
      <c r="A53" s="13">
        <v>26</v>
      </c>
      <c r="B53" s="16" t="s">
        <v>168</v>
      </c>
      <c r="C53" s="143" t="s">
        <v>211</v>
      </c>
      <c r="D53" s="148" t="s">
        <v>212</v>
      </c>
      <c r="E53" s="18" t="s">
        <v>37</v>
      </c>
      <c r="F53" s="18">
        <v>0</v>
      </c>
      <c r="G53" s="18">
        <v>0</v>
      </c>
      <c r="H53" s="18">
        <v>70</v>
      </c>
      <c r="I53" s="18">
        <v>70</v>
      </c>
      <c r="J53" s="18">
        <v>70</v>
      </c>
      <c r="K53" s="18">
        <v>70</v>
      </c>
      <c r="L53" s="18"/>
      <c r="M53" s="18">
        <v>0</v>
      </c>
      <c r="N53" s="18">
        <v>0</v>
      </c>
      <c r="O53" s="18"/>
      <c r="P53" s="19"/>
      <c r="Q53" s="112">
        <f>J53</f>
        <v>70</v>
      </c>
      <c r="R53" s="101">
        <f t="shared" si="4"/>
        <v>0</v>
      </c>
      <c r="S53" s="100" t="str">
        <f>IFERROR(Q53/P53,"")</f>
        <v/>
      </c>
      <c r="T53" s="18" t="s">
        <v>43</v>
      </c>
      <c r="U53" s="18" t="s">
        <v>165</v>
      </c>
      <c r="V53" s="19" t="s">
        <v>170</v>
      </c>
      <c r="W53" s="18" t="s">
        <v>167</v>
      </c>
    </row>
    <row r="54" spans="1:26" s="29" customFormat="1" ht="19.5" customHeight="1" x14ac:dyDescent="0.75">
      <c r="A54" s="23"/>
      <c r="B54" s="23"/>
      <c r="C54" s="239"/>
      <c r="D54" s="229" t="s">
        <v>171</v>
      </c>
      <c r="E54" s="210"/>
      <c r="F54" s="210"/>
      <c r="G54" s="210"/>
      <c r="H54" s="210"/>
      <c r="I54" s="210"/>
      <c r="J54" s="210"/>
      <c r="K54" s="210"/>
      <c r="L54" s="210"/>
      <c r="M54" s="210"/>
      <c r="N54" s="210"/>
      <c r="O54" s="210"/>
      <c r="P54" s="210"/>
      <c r="Q54" s="210"/>
      <c r="R54" s="210"/>
      <c r="S54" s="210"/>
      <c r="T54" s="210"/>
      <c r="U54" s="210"/>
      <c r="V54" s="210"/>
      <c r="W54" s="125"/>
      <c r="X54" s="7"/>
      <c r="Y54" s="7"/>
      <c r="Z54" s="7"/>
    </row>
    <row r="55" spans="1:26" s="29" customFormat="1" ht="19.5" customHeight="1" x14ac:dyDescent="0.75">
      <c r="A55" s="23">
        <v>27</v>
      </c>
      <c r="B55" s="23"/>
      <c r="D55" s="32" t="s">
        <v>172</v>
      </c>
      <c r="E55" s="36"/>
      <c r="O55" s="113"/>
      <c r="X55" s="7"/>
      <c r="Y55" s="7"/>
      <c r="Z55" s="7"/>
    </row>
    <row r="56" spans="1:26" ht="19.5" customHeight="1" x14ac:dyDescent="0.65">
      <c r="A56" s="13"/>
      <c r="B56" s="24"/>
      <c r="D56" s="37" t="s">
        <v>173</v>
      </c>
      <c r="E56" s="38"/>
      <c r="F56" s="39"/>
      <c r="G56" s="40"/>
      <c r="H56" s="40"/>
      <c r="I56" s="40"/>
      <c r="J56" s="40"/>
      <c r="K56" s="40"/>
      <c r="L56" s="35"/>
      <c r="M56" s="41"/>
      <c r="N56" s="41"/>
      <c r="O56" s="35"/>
      <c r="P56" s="18"/>
      <c r="Q56" s="114"/>
      <c r="R56" s="114"/>
      <c r="S56" s="115"/>
      <c r="T56" s="38"/>
      <c r="U56" s="18"/>
      <c r="V56" s="38"/>
      <c r="W56" s="18"/>
    </row>
    <row r="57" spans="1:26" ht="19.5" customHeight="1" x14ac:dyDescent="0.75">
      <c r="A57" s="13"/>
      <c r="B57" s="24"/>
      <c r="D57" s="19"/>
      <c r="E57" s="38"/>
      <c r="F57" s="42"/>
      <c r="T57" s="38"/>
      <c r="U57" s="42"/>
      <c r="V57" s="44"/>
      <c r="W57" s="42"/>
    </row>
    <row r="58" spans="1:26" ht="19.5" customHeight="1" x14ac:dyDescent="0.75">
      <c r="A58" s="13"/>
      <c r="B58" s="24"/>
      <c r="D58" s="45"/>
      <c r="E58" s="38"/>
      <c r="F58" s="39"/>
      <c r="T58" s="38"/>
      <c r="U58" s="18"/>
      <c r="V58" s="38"/>
      <c r="W58" s="18"/>
    </row>
    <row r="59" spans="1:26" ht="19.5" customHeight="1" x14ac:dyDescent="0.75">
      <c r="A59" s="13"/>
      <c r="B59" s="24"/>
      <c r="D59" s="46"/>
      <c r="E59" s="38"/>
      <c r="F59" s="42"/>
      <c r="T59" s="38"/>
      <c r="U59" s="42"/>
      <c r="V59" s="43"/>
      <c r="W59" s="42"/>
    </row>
    <row r="60" spans="1:26" ht="13.5" customHeight="1" x14ac:dyDescent="0.75">
      <c r="A60" s="13"/>
      <c r="B60" s="13"/>
      <c r="D60" s="131"/>
    </row>
    <row r="61" spans="1:26" ht="25.5" customHeight="1" x14ac:dyDescent="0.75">
      <c r="A61" s="23"/>
      <c r="B61" s="24"/>
      <c r="D61" s="19"/>
      <c r="E61" s="38"/>
      <c r="F61" s="42"/>
      <c r="T61" s="38"/>
      <c r="U61" s="18"/>
      <c r="V61" s="38"/>
      <c r="W61" s="18"/>
    </row>
  </sheetData>
  <mergeCells count="27">
    <mergeCell ref="C35:V35"/>
    <mergeCell ref="C29:V29"/>
    <mergeCell ref="C47:V47"/>
    <mergeCell ref="C54:V54"/>
    <mergeCell ref="T2:T5"/>
    <mergeCell ref="C9:V9"/>
    <mergeCell ref="Q3:Q5"/>
    <mergeCell ref="E2:E5"/>
    <mergeCell ref="S4:S5"/>
    <mergeCell ref="C46:V46"/>
    <mergeCell ref="C17:V17"/>
    <mergeCell ref="F2:O2"/>
    <mergeCell ref="C7:V7"/>
    <mergeCell ref="V2:V5"/>
    <mergeCell ref="C19:V19"/>
    <mergeCell ref="K3:O3"/>
    <mergeCell ref="C18:V18"/>
    <mergeCell ref="C4:C5"/>
    <mergeCell ref="A1:A6"/>
    <mergeCell ref="C30:V30"/>
    <mergeCell ref="P3:P5"/>
    <mergeCell ref="C15:V15"/>
    <mergeCell ref="R3:R5"/>
    <mergeCell ref="C6:V6"/>
    <mergeCell ref="D2:D5"/>
    <mergeCell ref="U2:U5"/>
    <mergeCell ref="F3:J3"/>
  </mergeCells>
  <hyperlinks>
    <hyperlink ref="B8" r:id="rId1" location="'IODP1.1'!A1"/>
    <hyperlink ref="B10" r:id="rId2" location="'IODP2.1'!A1"/>
    <hyperlink ref="B11" r:id="rId3" location="'IODP2.2'!A1"/>
    <hyperlink ref="B12" r:id="rId4" location="'IODP2.3'!A1"/>
    <hyperlink ref="B13" r:id="rId5" location="'IODP2.4'!A1"/>
    <hyperlink ref="B14" r:id="rId6" location="'IODP2.5'!A1"/>
    <hyperlink ref="B16" r:id="rId7" location="'IODP3.1'!A1"/>
    <hyperlink ref="B20" r:id="rId8" location="'IR1.1.1'!A1"/>
    <hyperlink ref="B21" r:id="rId9" location="'IR1.1.2'!A1"/>
    <hyperlink ref="B22" r:id="rId10" location="'IR1.1.3'!A1" display="IR1.1.3"/>
    <hyperlink ref="B23" r:id="rId11" location="'IR1.1.4'!A1" display="IR1.1.4"/>
    <hyperlink ref="B24" r:id="rId12" location="'IR1.1.5'!A1" display="IR1.1.4.1"/>
    <hyperlink ref="B25" r:id="rId13" location="'IR1.1.6'!A1" display="IR1.1.6"/>
    <hyperlink ref="B26" r:id="rId14" location="'IR1.1.7'!A1" display="IR1.1.7"/>
    <hyperlink ref="B27" r:id="rId15" location="'IR1.1.8'!A1" display="IR1.1.8.1"/>
    <hyperlink ref="B28" r:id="rId16" location="'IR1.1.9'!A1" display="IR1.1.8.2"/>
    <hyperlink ref="B31" r:id="rId17" location="'IR2.1.1'!A1"/>
    <hyperlink ref="B32" r:id="rId18" location="'IR2.1.4'!A1"/>
    <hyperlink ref="B34" r:id="rId19" location="'IR2.2.13'!A1"/>
    <hyperlink ref="B36" r:id="rId20" location="'IR2.2.5'!A1"/>
    <hyperlink ref="B37" r:id="rId21" location="'IR2.2.7'!A1"/>
    <hyperlink ref="B38" r:id="rId22" location="'IR2.2.3'!A1"/>
    <hyperlink ref="B39" r:id="rId23" location="'IR2.2.4'!A1"/>
    <hyperlink ref="B40" r:id="rId24" location="'IR2.2.6'!A1"/>
    <hyperlink ref="B41" r:id="rId25" location="'IR2.2.10'!A1"/>
    <hyperlink ref="B42" r:id="rId26" location="'IR2.2.8'!A1"/>
    <hyperlink ref="B43" r:id="rId27" location="'IR2.2.9'!A1"/>
    <hyperlink ref="B44" r:id="rId28" location="'IR2.2.11'!A1"/>
    <hyperlink ref="B45" r:id="rId29" location="'IR2.2.12'!A1"/>
    <hyperlink ref="B48" r:id="rId30" location="'IR3.1.4'!A1"/>
    <hyperlink ref="B49" r:id="rId31" location="'IR3.1.1'!A1"/>
    <hyperlink ref="B50" r:id="rId32" location="'IR3.1.2'!A1"/>
    <hyperlink ref="B51" r:id="rId33" location="'IR3.1.3'!A1"/>
    <hyperlink ref="B52" r:id="rId34" location="'IR3.1.5'!A1"/>
    <hyperlink ref="B53" r:id="rId35" location="'IR3.1.7'!A1"/>
  </hyperlinks>
  <printOptions horizontalCentered="1"/>
  <pageMargins left="0.118055555555556" right="0.118055555555556" top="0.23611111111111099" bottom="0.15763888888888899" header="0.511811023622047" footer="0.511811023622047"/>
  <pageSetup paperSize="9" scale="55" fitToHeight="0" orientation="landscape" horizontalDpi="300" verticalDpi="300"/>
  <legacyDrawing r:id="rId3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2"/>
  <sheetViews>
    <sheetView zoomScale="70" zoomScaleNormal="70" workbookViewId="0">
      <selection activeCell="L18" sqref="L18"/>
    </sheetView>
  </sheetViews>
  <sheetFormatPr baseColWidth="10" defaultColWidth="11.453125" defaultRowHeight="14.75" x14ac:dyDescent="0.75"/>
  <cols>
    <col min="1" max="1" width="28.453125" style="124" customWidth="1"/>
    <col min="2" max="2" width="15.2265625" style="124" customWidth="1"/>
    <col min="3" max="4" width="13" style="124" customWidth="1"/>
    <col min="5" max="5" width="12" style="124" customWidth="1"/>
    <col min="6" max="7" width="13" style="124" customWidth="1"/>
    <col min="8" max="8" width="13.76953125" style="124" customWidth="1"/>
    <col min="9" max="9" width="12.453125" style="124" customWidth="1"/>
    <col min="10" max="10" width="15.453125" style="124" customWidth="1"/>
    <col min="11" max="11" width="3.453125" style="124" customWidth="1"/>
    <col min="12" max="12" width="10.76953125" style="124" customWidth="1"/>
    <col min="13" max="13" width="10.453125" style="124" customWidth="1"/>
    <col min="14" max="14" width="1.2265625" style="124" hidden="1" customWidth="1"/>
    <col min="15" max="15" width="0.2265625" style="124" hidden="1" customWidth="1"/>
  </cols>
  <sheetData>
    <row r="1" spans="1:15" ht="18" customHeight="1" x14ac:dyDescent="0.75">
      <c r="A1" s="260" t="s">
        <v>264</v>
      </c>
      <c r="B1" s="210"/>
      <c r="C1" s="210"/>
      <c r="D1" s="210"/>
      <c r="E1" s="210"/>
      <c r="F1" s="210"/>
      <c r="G1" s="210"/>
      <c r="H1" s="210"/>
      <c r="I1" s="210"/>
      <c r="J1" s="210"/>
      <c r="K1" s="210"/>
      <c r="L1" s="210"/>
      <c r="M1" s="210"/>
      <c r="N1" s="210"/>
      <c r="O1" s="211"/>
    </row>
    <row r="2" spans="1:15" ht="32.25" customHeight="1" x14ac:dyDescent="0.75">
      <c r="A2" s="126" t="s">
        <v>214</v>
      </c>
      <c r="B2" s="126" t="s">
        <v>215</v>
      </c>
      <c r="C2" s="261" t="s">
        <v>216</v>
      </c>
      <c r="D2" s="210"/>
      <c r="E2" s="210"/>
      <c r="F2" s="210"/>
      <c r="G2" s="211"/>
      <c r="H2" s="264" t="s">
        <v>217</v>
      </c>
      <c r="I2" s="210"/>
      <c r="J2" s="211"/>
      <c r="K2" s="261" t="s">
        <v>218</v>
      </c>
      <c r="L2" s="210"/>
      <c r="M2" s="210"/>
      <c r="N2" s="210"/>
      <c r="O2" s="211"/>
    </row>
    <row r="3" spans="1:15" ht="15" customHeight="1" x14ac:dyDescent="0.75">
      <c r="A3" s="240" t="s">
        <v>41</v>
      </c>
      <c r="B3" s="240"/>
      <c r="C3" s="254" t="s">
        <v>219</v>
      </c>
      <c r="D3" s="240" t="s">
        <v>220</v>
      </c>
      <c r="E3" s="210"/>
      <c r="F3" s="210"/>
      <c r="G3" s="211"/>
      <c r="H3" s="254" t="s">
        <v>38</v>
      </c>
      <c r="I3" s="254" t="s">
        <v>221</v>
      </c>
      <c r="J3" s="254" t="s">
        <v>222</v>
      </c>
      <c r="K3" s="241" t="s">
        <v>223</v>
      </c>
      <c r="L3" s="242"/>
      <c r="M3" s="242"/>
      <c r="N3" s="242"/>
      <c r="O3" s="243"/>
    </row>
    <row r="4" spans="1:15" ht="24" customHeight="1" x14ac:dyDescent="0.75">
      <c r="A4" s="224"/>
      <c r="B4" s="213"/>
      <c r="C4" s="213"/>
      <c r="D4" s="129">
        <v>2024</v>
      </c>
      <c r="E4" s="129">
        <v>2025</v>
      </c>
      <c r="F4" s="129">
        <v>2026</v>
      </c>
      <c r="G4" s="129">
        <v>2027</v>
      </c>
      <c r="H4" s="213"/>
      <c r="I4" s="213"/>
      <c r="J4" s="213"/>
      <c r="K4" s="244"/>
      <c r="L4" s="207"/>
      <c r="M4" s="207"/>
      <c r="N4" s="207"/>
      <c r="O4" s="245"/>
    </row>
    <row r="5" spans="1:15" ht="15.75" customHeight="1" x14ac:dyDescent="0.75">
      <c r="A5" s="224"/>
      <c r="B5" s="130" t="s">
        <v>224</v>
      </c>
      <c r="C5" s="47"/>
      <c r="D5" s="48"/>
      <c r="E5" s="48"/>
      <c r="F5" s="48"/>
      <c r="G5" s="48"/>
      <c r="H5" s="262" t="s">
        <v>225</v>
      </c>
      <c r="I5" s="241" t="s">
        <v>226</v>
      </c>
      <c r="J5" s="251" t="s">
        <v>540</v>
      </c>
      <c r="K5" s="244"/>
      <c r="L5" s="207"/>
      <c r="M5" s="207"/>
      <c r="N5" s="207"/>
      <c r="O5" s="245"/>
    </row>
    <row r="6" spans="1:15" ht="15.75" customHeight="1" x14ac:dyDescent="0.75">
      <c r="A6" s="224"/>
      <c r="B6" s="130" t="s">
        <v>227</v>
      </c>
      <c r="C6" s="47"/>
      <c r="D6" s="48"/>
      <c r="E6" s="48"/>
      <c r="F6" s="48"/>
      <c r="G6" s="48"/>
      <c r="H6" s="224"/>
      <c r="I6" s="224"/>
      <c r="J6" s="224"/>
      <c r="K6" s="244"/>
      <c r="L6" s="207"/>
      <c r="M6" s="207"/>
      <c r="N6" s="207"/>
      <c r="O6" s="245"/>
    </row>
    <row r="7" spans="1:15" ht="15" customHeight="1" x14ac:dyDescent="0.75">
      <c r="A7" s="224"/>
      <c r="B7" s="130" t="s">
        <v>228</v>
      </c>
      <c r="C7" s="49"/>
      <c r="D7" s="50">
        <v>5</v>
      </c>
      <c r="E7" s="50">
        <v>10</v>
      </c>
      <c r="F7" s="50">
        <v>20</v>
      </c>
      <c r="G7" s="50">
        <v>30</v>
      </c>
      <c r="H7" s="224"/>
      <c r="I7" s="224"/>
      <c r="J7" s="224"/>
      <c r="K7" s="244"/>
      <c r="L7" s="207"/>
      <c r="M7" s="207"/>
      <c r="N7" s="207"/>
      <c r="O7" s="245"/>
    </row>
    <row r="8" spans="1:15" ht="15" customHeight="1" x14ac:dyDescent="0.75">
      <c r="A8" s="224"/>
      <c r="B8" s="130" t="s">
        <v>229</v>
      </c>
      <c r="C8" s="49"/>
      <c r="D8" s="50"/>
      <c r="E8" s="50"/>
      <c r="F8" s="50"/>
      <c r="G8" s="50"/>
      <c r="H8" s="224"/>
      <c r="I8" s="224"/>
      <c r="J8" s="224"/>
      <c r="K8" s="244"/>
      <c r="L8" s="207"/>
      <c r="M8" s="207"/>
      <c r="N8" s="207"/>
      <c r="O8" s="245"/>
    </row>
    <row r="9" spans="1:15" ht="15" customHeight="1" x14ac:dyDescent="0.75">
      <c r="A9" s="213"/>
      <c r="B9" s="51" t="s">
        <v>230</v>
      </c>
      <c r="C9" s="52">
        <f>SUM(C5:C8)</f>
        <v>0</v>
      </c>
      <c r="D9" s="52">
        <v>5</v>
      </c>
      <c r="E9" s="52">
        <v>10</v>
      </c>
      <c r="F9" s="52">
        <v>20</v>
      </c>
      <c r="G9" s="52">
        <v>30</v>
      </c>
      <c r="H9" s="213"/>
      <c r="I9" s="213"/>
      <c r="J9" s="213"/>
      <c r="K9" s="246"/>
      <c r="L9" s="216"/>
      <c r="M9" s="216"/>
      <c r="N9" s="216"/>
      <c r="O9" s="247"/>
    </row>
    <row r="10" spans="1:15" x14ac:dyDescent="0.75">
      <c r="A10" s="258" t="s">
        <v>231</v>
      </c>
      <c r="B10" s="210"/>
      <c r="C10" s="210"/>
      <c r="D10" s="210"/>
      <c r="E10" s="210"/>
      <c r="F10" s="210"/>
      <c r="G10" s="211"/>
      <c r="H10" s="250" t="s">
        <v>3</v>
      </c>
      <c r="I10" s="210"/>
      <c r="J10" s="210"/>
      <c r="K10" s="210"/>
      <c r="L10" s="210"/>
      <c r="M10" s="210"/>
      <c r="N10" s="210"/>
      <c r="O10" s="211"/>
    </row>
    <row r="11" spans="1:15" ht="32.75" customHeight="1" x14ac:dyDescent="0.75">
      <c r="A11" s="263" t="s">
        <v>232</v>
      </c>
      <c r="B11" s="210"/>
      <c r="C11" s="211"/>
      <c r="D11" s="252" t="s">
        <v>41</v>
      </c>
      <c r="E11" s="210"/>
      <c r="F11" s="210"/>
      <c r="G11" s="211"/>
      <c r="H11" s="253" t="s">
        <v>233</v>
      </c>
      <c r="I11" s="210"/>
      <c r="J11" s="210"/>
      <c r="K11" s="210"/>
      <c r="L11" s="210"/>
      <c r="M11" s="210"/>
      <c r="N11" s="210"/>
      <c r="O11" s="211"/>
    </row>
    <row r="12" spans="1:15" ht="14.25" customHeight="1" x14ac:dyDescent="0.75">
      <c r="A12" s="248" t="s">
        <v>234</v>
      </c>
      <c r="B12" s="242"/>
      <c r="C12" s="242"/>
      <c r="D12" s="242"/>
      <c r="E12" s="242"/>
      <c r="F12" s="242"/>
      <c r="G12" s="243"/>
      <c r="H12" s="240" t="s">
        <v>235</v>
      </c>
      <c r="I12" s="210"/>
      <c r="J12" s="210"/>
      <c r="K12" s="210"/>
      <c r="L12" s="210"/>
      <c r="M12" s="210"/>
      <c r="N12" s="210"/>
      <c r="O12" s="211"/>
    </row>
    <row r="13" spans="1:15" ht="15" customHeight="1" x14ac:dyDescent="0.75">
      <c r="A13" s="249" t="s">
        <v>265</v>
      </c>
      <c r="B13" s="207"/>
      <c r="C13" s="207"/>
      <c r="D13" s="207"/>
      <c r="E13" s="207"/>
      <c r="F13" s="207"/>
      <c r="G13" s="245"/>
      <c r="H13" s="240" t="s">
        <v>236</v>
      </c>
      <c r="I13" s="211"/>
      <c r="J13" s="240" t="s">
        <v>237</v>
      </c>
      <c r="K13" s="211"/>
      <c r="L13" s="129" t="s">
        <v>238</v>
      </c>
      <c r="M13" s="240" t="s">
        <v>239</v>
      </c>
      <c r="N13" s="210"/>
      <c r="O13" s="211"/>
    </row>
    <row r="14" spans="1:15" ht="15.75" customHeight="1" x14ac:dyDescent="0.75">
      <c r="A14" s="244"/>
      <c r="B14" s="207"/>
      <c r="C14" s="207"/>
      <c r="D14" s="207"/>
      <c r="E14" s="207"/>
      <c r="F14" s="207"/>
      <c r="G14" s="245"/>
      <c r="H14" s="252" t="s">
        <v>240</v>
      </c>
      <c r="I14" s="211"/>
      <c r="J14" s="241">
        <v>26</v>
      </c>
      <c r="K14" s="211"/>
      <c r="L14" s="149" t="str">
        <f>IFERROR(J14/M14,"")</f>
        <v/>
      </c>
      <c r="M14" s="252">
        <f>C9</f>
        <v>0</v>
      </c>
      <c r="N14" s="210"/>
      <c r="O14" s="211"/>
    </row>
    <row r="15" spans="1:15" ht="15.75" customHeight="1" x14ac:dyDescent="0.75">
      <c r="A15" s="244"/>
      <c r="B15" s="207"/>
      <c r="C15" s="207"/>
      <c r="D15" s="207"/>
      <c r="E15" s="207"/>
      <c r="F15" s="207"/>
      <c r="G15" s="245"/>
      <c r="H15" s="252">
        <v>2024</v>
      </c>
      <c r="I15" s="211"/>
      <c r="J15" s="252">
        <v>39</v>
      </c>
      <c r="K15" s="211"/>
      <c r="L15" s="53">
        <f>+J15-J14</f>
        <v>13</v>
      </c>
      <c r="M15" s="255">
        <f>D9</f>
        <v>5</v>
      </c>
      <c r="N15" s="210"/>
      <c r="O15" s="211"/>
    </row>
    <row r="16" spans="1:15" ht="15.75" customHeight="1" x14ac:dyDescent="0.75">
      <c r="A16" s="244"/>
      <c r="B16" s="207"/>
      <c r="C16" s="207"/>
      <c r="D16" s="207"/>
      <c r="E16" s="207"/>
      <c r="F16" s="207"/>
      <c r="G16" s="245"/>
      <c r="H16" s="252">
        <v>2025</v>
      </c>
      <c r="I16" s="211"/>
      <c r="J16" s="252">
        <v>29</v>
      </c>
      <c r="K16" s="211"/>
      <c r="L16" s="53">
        <f>+J16-J15</f>
        <v>-10</v>
      </c>
      <c r="M16" s="255">
        <f>E9</f>
        <v>10</v>
      </c>
      <c r="N16" s="210"/>
      <c r="O16" s="211"/>
    </row>
    <row r="17" spans="1:15" ht="15.75" customHeight="1" x14ac:dyDescent="0.75">
      <c r="A17" s="244"/>
      <c r="B17" s="207"/>
      <c r="C17" s="207"/>
      <c r="D17" s="207"/>
      <c r="E17" s="207"/>
      <c r="F17" s="207"/>
      <c r="G17" s="245"/>
      <c r="H17" s="252">
        <v>2026</v>
      </c>
      <c r="I17" s="211"/>
      <c r="J17" s="252"/>
      <c r="K17" s="211"/>
      <c r="L17" s="149">
        <f>IFERROR(J17/M17,"")</f>
        <v>0</v>
      </c>
      <c r="M17" s="255">
        <f>F9</f>
        <v>20</v>
      </c>
      <c r="N17" s="210"/>
      <c r="O17" s="211"/>
    </row>
    <row r="18" spans="1:15" ht="15.75" customHeight="1" x14ac:dyDescent="0.75">
      <c r="A18" s="246"/>
      <c r="B18" s="216"/>
      <c r="C18" s="216"/>
      <c r="D18" s="216"/>
      <c r="E18" s="216"/>
      <c r="F18" s="216"/>
      <c r="G18" s="247"/>
      <c r="H18" s="252">
        <v>2027</v>
      </c>
      <c r="I18" s="211"/>
      <c r="J18" s="252"/>
      <c r="K18" s="211"/>
      <c r="L18" s="149">
        <f>IFERROR(J18/M18,"")</f>
        <v>0</v>
      </c>
      <c r="M18" s="255">
        <f>G9</f>
        <v>30</v>
      </c>
      <c r="N18" s="210"/>
      <c r="O18" s="211"/>
    </row>
    <row r="19" spans="1:15" ht="40" customHeight="1" x14ac:dyDescent="0.75">
      <c r="A19" s="54" t="s">
        <v>241</v>
      </c>
      <c r="B19" s="257" t="s">
        <v>541</v>
      </c>
      <c r="C19" s="210"/>
      <c r="D19" s="210"/>
      <c r="E19" s="210"/>
      <c r="F19" s="210"/>
      <c r="G19" s="210"/>
      <c r="H19" s="210"/>
      <c r="I19" s="210"/>
      <c r="J19" s="210"/>
      <c r="K19" s="210"/>
      <c r="L19" s="210"/>
      <c r="M19" s="210"/>
      <c r="N19" s="210"/>
      <c r="O19" s="211"/>
    </row>
    <row r="20" spans="1:15" ht="40" customHeight="1" x14ac:dyDescent="0.75">
      <c r="A20" s="54" t="s">
        <v>242</v>
      </c>
      <c r="B20" s="256" t="s">
        <v>3</v>
      </c>
      <c r="C20" s="210"/>
      <c r="D20" s="210"/>
      <c r="E20" s="210"/>
      <c r="F20" s="210"/>
      <c r="G20" s="210"/>
      <c r="H20" s="210"/>
      <c r="I20" s="210"/>
      <c r="J20" s="210"/>
      <c r="K20" s="210"/>
      <c r="L20" s="210"/>
      <c r="M20" s="210"/>
      <c r="N20" s="210"/>
      <c r="O20" s="211"/>
    </row>
    <row r="21" spans="1:15" ht="40" customHeight="1" x14ac:dyDescent="0.75">
      <c r="A21" s="54" t="s">
        <v>243</v>
      </c>
      <c r="B21" s="256" t="s">
        <v>244</v>
      </c>
      <c r="C21" s="210"/>
      <c r="D21" s="210"/>
      <c r="E21" s="210"/>
      <c r="F21" s="210"/>
      <c r="G21" s="210"/>
      <c r="H21" s="210"/>
      <c r="I21" s="210"/>
      <c r="J21" s="210"/>
      <c r="K21" s="210"/>
      <c r="L21" s="210"/>
      <c r="M21" s="210"/>
      <c r="N21" s="210"/>
      <c r="O21" s="211"/>
    </row>
    <row r="22" spans="1:15" ht="40" customHeight="1" x14ac:dyDescent="0.75">
      <c r="A22" s="55" t="s">
        <v>245</v>
      </c>
      <c r="B22" s="256" t="s">
        <v>246</v>
      </c>
      <c r="C22" s="210"/>
      <c r="D22" s="210"/>
      <c r="E22" s="210"/>
      <c r="F22" s="210"/>
      <c r="G22" s="210"/>
      <c r="H22" s="210"/>
      <c r="I22" s="210"/>
      <c r="J22" s="210"/>
      <c r="K22" s="210"/>
      <c r="L22" s="210"/>
      <c r="M22" s="210"/>
      <c r="N22" s="210"/>
      <c r="O22" s="211"/>
    </row>
    <row r="23" spans="1:15" ht="28" customHeight="1" x14ac:dyDescent="0.75">
      <c r="A23" s="54" t="s">
        <v>247</v>
      </c>
      <c r="B23" s="256" t="s">
        <v>248</v>
      </c>
      <c r="C23" s="210"/>
      <c r="D23" s="210"/>
      <c r="E23" s="210"/>
      <c r="F23" s="210"/>
      <c r="G23" s="210"/>
      <c r="H23" s="210"/>
      <c r="I23" s="210"/>
      <c r="J23" s="210"/>
      <c r="K23" s="210"/>
      <c r="L23" s="210"/>
      <c r="M23" s="210"/>
      <c r="N23" s="210"/>
      <c r="O23" s="211"/>
    </row>
    <row r="24" spans="1:15" ht="40" customHeight="1" x14ac:dyDescent="0.75">
      <c r="A24" s="56" t="s">
        <v>249</v>
      </c>
      <c r="B24" s="265" t="s">
        <v>250</v>
      </c>
      <c r="C24" s="210"/>
      <c r="D24" s="210"/>
      <c r="E24" s="210"/>
      <c r="F24" s="210"/>
      <c r="G24" s="210"/>
      <c r="H24" s="210"/>
      <c r="I24" s="210"/>
      <c r="J24" s="210"/>
      <c r="K24" s="210"/>
      <c r="L24" s="210"/>
      <c r="M24" s="210"/>
      <c r="N24" s="210"/>
      <c r="O24" s="211"/>
    </row>
    <row r="25" spans="1:15" ht="28" customHeight="1" x14ac:dyDescent="0.75">
      <c r="A25" s="56" t="s">
        <v>251</v>
      </c>
      <c r="B25" s="265" t="s">
        <v>252</v>
      </c>
      <c r="C25" s="210"/>
      <c r="D25" s="210"/>
      <c r="E25" s="210"/>
      <c r="F25" s="210"/>
      <c r="G25" s="210"/>
      <c r="H25" s="210"/>
      <c r="I25" s="210"/>
      <c r="J25" s="210"/>
      <c r="K25" s="210"/>
      <c r="L25" s="210"/>
      <c r="M25" s="210"/>
      <c r="N25" s="210"/>
      <c r="O25" s="211"/>
    </row>
    <row r="26" spans="1:15" ht="40" customHeight="1" x14ac:dyDescent="0.75">
      <c r="A26" s="54" t="s">
        <v>253</v>
      </c>
      <c r="B26" s="267" t="s">
        <v>254</v>
      </c>
      <c r="C26" s="210"/>
      <c r="D26" s="210"/>
      <c r="E26" s="210"/>
      <c r="F26" s="210"/>
      <c r="G26" s="210"/>
      <c r="H26" s="210"/>
      <c r="I26" s="210"/>
      <c r="J26" s="210"/>
      <c r="K26" s="210"/>
      <c r="L26" s="210"/>
      <c r="M26" s="210"/>
      <c r="N26" s="210"/>
      <c r="O26" s="211"/>
    </row>
    <row r="27" spans="1:15" ht="40" customHeight="1" x14ac:dyDescent="0.75">
      <c r="A27" s="54" t="s">
        <v>255</v>
      </c>
      <c r="B27" s="259" t="s">
        <v>256</v>
      </c>
      <c r="C27" s="210"/>
      <c r="D27" s="210"/>
      <c r="E27" s="210"/>
      <c r="F27" s="210"/>
      <c r="G27" s="210"/>
      <c r="H27" s="210"/>
      <c r="I27" s="210"/>
      <c r="J27" s="210"/>
      <c r="K27" s="210"/>
      <c r="L27" s="210"/>
      <c r="M27" s="210"/>
      <c r="N27" s="210"/>
      <c r="O27" s="211"/>
    </row>
    <row r="28" spans="1:15" ht="40" customHeight="1" x14ac:dyDescent="0.75">
      <c r="A28" s="54" t="s">
        <v>257</v>
      </c>
      <c r="B28" s="256" t="s">
        <v>226</v>
      </c>
      <c r="C28" s="210"/>
      <c r="D28" s="210"/>
      <c r="E28" s="210"/>
      <c r="F28" s="210"/>
      <c r="G28" s="210"/>
      <c r="H28" s="210"/>
      <c r="I28" s="210"/>
      <c r="J28" s="210"/>
      <c r="K28" s="210"/>
      <c r="L28" s="210"/>
      <c r="M28" s="210"/>
      <c r="N28" s="210"/>
      <c r="O28" s="211"/>
    </row>
    <row r="29" spans="1:15" ht="28" customHeight="1" x14ac:dyDescent="0.75">
      <c r="A29" s="54" t="s">
        <v>258</v>
      </c>
      <c r="B29" s="266" t="s">
        <v>225</v>
      </c>
      <c r="C29" s="210"/>
      <c r="D29" s="210"/>
      <c r="E29" s="210"/>
      <c r="F29" s="210"/>
      <c r="G29" s="210"/>
      <c r="H29" s="210"/>
      <c r="I29" s="210"/>
      <c r="J29" s="210"/>
      <c r="K29" s="210"/>
      <c r="L29" s="210"/>
      <c r="M29" s="210"/>
      <c r="N29" s="210"/>
      <c r="O29" s="211"/>
    </row>
    <row r="30" spans="1:15" ht="28" customHeight="1" x14ac:dyDescent="0.75">
      <c r="A30" s="54" t="s">
        <v>259</v>
      </c>
      <c r="B30" s="257" t="s">
        <v>542</v>
      </c>
      <c r="C30" s="210"/>
      <c r="D30" s="210"/>
      <c r="E30" s="210"/>
      <c r="F30" s="210"/>
      <c r="G30" s="210"/>
      <c r="H30" s="210"/>
      <c r="I30" s="210"/>
      <c r="J30" s="210"/>
      <c r="K30" s="210"/>
      <c r="L30" s="210"/>
      <c r="M30" s="210"/>
      <c r="N30" s="210"/>
      <c r="O30" s="211"/>
    </row>
    <row r="31" spans="1:15" ht="40" customHeight="1" x14ac:dyDescent="0.75">
      <c r="A31" s="54" t="s">
        <v>261</v>
      </c>
      <c r="B31" s="257" t="s">
        <v>543</v>
      </c>
      <c r="C31" s="210"/>
      <c r="D31" s="210"/>
      <c r="E31" s="210"/>
      <c r="F31" s="210"/>
      <c r="G31" s="210"/>
      <c r="H31" s="210"/>
      <c r="I31" s="210"/>
      <c r="J31" s="210"/>
      <c r="K31" s="210"/>
      <c r="L31" s="210"/>
      <c r="M31" s="210"/>
      <c r="N31" s="210"/>
      <c r="O31" s="211"/>
    </row>
    <row r="32" spans="1:15" ht="82" customHeight="1" x14ac:dyDescent="0.75">
      <c r="A32" s="54" t="s">
        <v>262</v>
      </c>
      <c r="B32" s="262" t="s">
        <v>263</v>
      </c>
      <c r="C32" s="210"/>
      <c r="D32" s="210"/>
      <c r="E32" s="210"/>
      <c r="F32" s="210"/>
      <c r="G32" s="210"/>
      <c r="H32" s="210"/>
      <c r="I32" s="210"/>
      <c r="J32" s="210"/>
      <c r="K32" s="210"/>
      <c r="L32" s="210"/>
      <c r="M32" s="210"/>
      <c r="N32" s="210"/>
      <c r="O32" s="211"/>
    </row>
  </sheetData>
  <mergeCells count="54">
    <mergeCell ref="B32:O32"/>
    <mergeCell ref="J17:K17"/>
    <mergeCell ref="B30:O30"/>
    <mergeCell ref="B24:O24"/>
    <mergeCell ref="H18:I18"/>
    <mergeCell ref="B29:O29"/>
    <mergeCell ref="B28:O28"/>
    <mergeCell ref="B26:O26"/>
    <mergeCell ref="B25:O25"/>
    <mergeCell ref="A1:O1"/>
    <mergeCell ref="J18:K18"/>
    <mergeCell ref="B20:O20"/>
    <mergeCell ref="H14:I14"/>
    <mergeCell ref="C2:G2"/>
    <mergeCell ref="K2:O2"/>
    <mergeCell ref="H3:H4"/>
    <mergeCell ref="H5:H9"/>
    <mergeCell ref="J3:J4"/>
    <mergeCell ref="B19:O19"/>
    <mergeCell ref="D11:G11"/>
    <mergeCell ref="H13:I13"/>
    <mergeCell ref="H12:O12"/>
    <mergeCell ref="A11:C11"/>
    <mergeCell ref="C3:C4"/>
    <mergeCell ref="H2:J2"/>
    <mergeCell ref="B31:O31"/>
    <mergeCell ref="J13:K13"/>
    <mergeCell ref="B22:O22"/>
    <mergeCell ref="A10:G10"/>
    <mergeCell ref="M15:O15"/>
    <mergeCell ref="B27:O27"/>
    <mergeCell ref="B21:O21"/>
    <mergeCell ref="M18:O18"/>
    <mergeCell ref="J15:K15"/>
    <mergeCell ref="B23:O23"/>
    <mergeCell ref="H17:I17"/>
    <mergeCell ref="M14:O14"/>
    <mergeCell ref="D3:G3"/>
    <mergeCell ref="I5:I9"/>
    <mergeCell ref="M16:O16"/>
    <mergeCell ref="A3:A9"/>
    <mergeCell ref="B3:B4"/>
    <mergeCell ref="J14:K14"/>
    <mergeCell ref="K3:O9"/>
    <mergeCell ref="A12:G18"/>
    <mergeCell ref="M13:O13"/>
    <mergeCell ref="H10:O10"/>
    <mergeCell ref="J5:J9"/>
    <mergeCell ref="H16:I16"/>
    <mergeCell ref="H11:O11"/>
    <mergeCell ref="J16:K16"/>
    <mergeCell ref="H15:I15"/>
    <mergeCell ref="I3:I4"/>
    <mergeCell ref="M17:O17"/>
  </mergeCells>
  <printOptions horizontalCentered="1"/>
  <pageMargins left="0.118055555555556" right="0.118055555555556" top="0.15763888888888899" bottom="0.15763888888888899" header="0.511811023622047" footer="0.511811023622047"/>
  <pageSetup paperSize="9" scale="70"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2"/>
  <sheetViews>
    <sheetView topLeftCell="A10" workbookViewId="0">
      <selection activeCell="B19" sqref="B19:O32"/>
    </sheetView>
  </sheetViews>
  <sheetFormatPr baseColWidth="10" defaultColWidth="11.453125" defaultRowHeight="14.75" x14ac:dyDescent="0.75"/>
  <cols>
    <col min="1" max="1" width="30.76953125" style="124" customWidth="1"/>
    <col min="2" max="2" width="15.2265625" style="124" customWidth="1"/>
    <col min="3" max="3" width="13" style="124" customWidth="1"/>
    <col min="4" max="5" width="10" style="124" customWidth="1"/>
    <col min="6" max="7" width="13" style="124" customWidth="1"/>
    <col min="8" max="8" width="14" style="124" customWidth="1"/>
    <col min="9" max="9" width="17.86328125" style="124" customWidth="1"/>
    <col min="11" max="11" width="9" style="124" customWidth="1"/>
    <col min="14" max="14" width="7.453125" style="124" customWidth="1"/>
  </cols>
  <sheetData>
    <row r="1" spans="1:15" ht="18" customHeight="1" x14ac:dyDescent="0.75">
      <c r="A1" s="272" t="s">
        <v>287</v>
      </c>
      <c r="B1" s="207"/>
      <c r="C1" s="207"/>
      <c r="D1" s="207"/>
      <c r="E1" s="207"/>
      <c r="F1" s="207"/>
      <c r="G1" s="207"/>
      <c r="H1" s="207"/>
      <c r="I1" s="207"/>
      <c r="J1" s="207"/>
      <c r="K1" s="207"/>
      <c r="L1" s="207"/>
      <c r="M1" s="207"/>
      <c r="N1" s="207"/>
      <c r="O1" s="207"/>
    </row>
    <row r="2" spans="1:15" ht="30" customHeight="1" x14ac:dyDescent="0.75">
      <c r="A2" s="126" t="s">
        <v>214</v>
      </c>
      <c r="B2" s="126" t="s">
        <v>215</v>
      </c>
      <c r="C2" s="261" t="s">
        <v>216</v>
      </c>
      <c r="D2" s="210"/>
      <c r="E2" s="210"/>
      <c r="F2" s="210"/>
      <c r="G2" s="211"/>
      <c r="H2" s="264" t="s">
        <v>217</v>
      </c>
      <c r="I2" s="210"/>
      <c r="J2" s="211"/>
      <c r="K2" s="261" t="s">
        <v>218</v>
      </c>
      <c r="L2" s="210"/>
      <c r="M2" s="210"/>
      <c r="N2" s="210"/>
      <c r="O2" s="211"/>
    </row>
    <row r="3" spans="1:15" ht="14.25" customHeight="1" x14ac:dyDescent="0.75">
      <c r="A3" s="240" t="s">
        <v>266</v>
      </c>
      <c r="B3" s="258"/>
      <c r="C3" s="254" t="s">
        <v>219</v>
      </c>
      <c r="D3" s="240" t="s">
        <v>220</v>
      </c>
      <c r="E3" s="210"/>
      <c r="F3" s="210"/>
      <c r="G3" s="211"/>
      <c r="H3" s="254" t="s">
        <v>38</v>
      </c>
      <c r="I3" s="254" t="s">
        <v>221</v>
      </c>
      <c r="J3" s="254" t="s">
        <v>222</v>
      </c>
      <c r="K3" s="250" t="s">
        <v>267</v>
      </c>
      <c r="L3" s="242"/>
      <c r="M3" s="242"/>
      <c r="N3" s="242"/>
      <c r="O3" s="243"/>
    </row>
    <row r="4" spans="1:15" ht="37.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57"/>
      <c r="D5" s="57"/>
      <c r="E5" s="57"/>
      <c r="F5" s="57"/>
      <c r="G5" s="57"/>
      <c r="H5" s="262" t="s">
        <v>268</v>
      </c>
      <c r="I5" s="241" t="s">
        <v>269</v>
      </c>
      <c r="J5" s="251" t="s">
        <v>540</v>
      </c>
      <c r="K5" s="244"/>
      <c r="L5" s="207"/>
      <c r="M5" s="207"/>
      <c r="N5" s="207"/>
      <c r="O5" s="245"/>
    </row>
    <row r="6" spans="1:15" ht="15" customHeight="1" x14ac:dyDescent="0.75">
      <c r="A6" s="224"/>
      <c r="B6" s="130" t="s">
        <v>227</v>
      </c>
      <c r="C6" s="57"/>
      <c r="D6" s="57"/>
      <c r="E6" s="57"/>
      <c r="F6" s="57"/>
      <c r="G6" s="57"/>
      <c r="H6" s="224"/>
      <c r="I6" s="224"/>
      <c r="J6" s="224"/>
      <c r="K6" s="244"/>
      <c r="L6" s="207"/>
      <c r="M6" s="207"/>
      <c r="N6" s="207"/>
      <c r="O6" s="245"/>
    </row>
    <row r="7" spans="1:15" ht="15" customHeight="1" x14ac:dyDescent="0.75">
      <c r="A7" s="224"/>
      <c r="B7" s="130" t="s">
        <v>228</v>
      </c>
      <c r="C7" s="58">
        <v>0</v>
      </c>
      <c r="D7" s="58">
        <v>9160</v>
      </c>
      <c r="E7" s="58">
        <v>17160</v>
      </c>
      <c r="F7" s="58"/>
      <c r="G7" s="58"/>
      <c r="H7" s="224"/>
      <c r="I7" s="224"/>
      <c r="J7" s="224"/>
      <c r="K7" s="244"/>
      <c r="L7" s="207"/>
      <c r="M7" s="207"/>
      <c r="N7" s="207"/>
      <c r="O7" s="245"/>
    </row>
    <row r="8" spans="1:15" ht="15" customHeight="1" x14ac:dyDescent="0.75">
      <c r="A8" s="224"/>
      <c r="B8" s="130" t="s">
        <v>229</v>
      </c>
      <c r="C8" s="58"/>
      <c r="D8" s="58"/>
      <c r="E8" s="58"/>
      <c r="F8" s="58"/>
      <c r="G8" s="58"/>
      <c r="H8" s="224"/>
      <c r="I8" s="224"/>
      <c r="J8" s="224"/>
      <c r="K8" s="244"/>
      <c r="L8" s="207"/>
      <c r="M8" s="207"/>
      <c r="N8" s="207"/>
      <c r="O8" s="245"/>
    </row>
    <row r="9" spans="1:15" ht="23.5" customHeight="1" x14ac:dyDescent="0.75">
      <c r="A9" s="213"/>
      <c r="B9" s="59" t="s">
        <v>230</v>
      </c>
      <c r="C9" s="60">
        <v>0</v>
      </c>
      <c r="D9" s="61">
        <v>20000</v>
      </c>
      <c r="E9" s="61">
        <v>100000</v>
      </c>
      <c r="F9" s="61">
        <v>200000</v>
      </c>
      <c r="G9" s="61">
        <v>300000</v>
      </c>
      <c r="H9" s="213"/>
      <c r="I9" s="213"/>
      <c r="J9" s="213"/>
      <c r="K9" s="246"/>
      <c r="L9" s="216"/>
      <c r="M9" s="216"/>
      <c r="N9" s="216"/>
      <c r="O9" s="247"/>
    </row>
    <row r="10" spans="1:15" ht="27" customHeight="1" x14ac:dyDescent="0.75">
      <c r="A10" s="258" t="s">
        <v>231</v>
      </c>
      <c r="B10" s="210"/>
      <c r="C10" s="210"/>
      <c r="D10" s="210"/>
      <c r="E10" s="210"/>
      <c r="F10" s="210"/>
      <c r="G10" s="211"/>
      <c r="H10" s="250" t="s">
        <v>5</v>
      </c>
      <c r="I10" s="210"/>
      <c r="J10" s="210"/>
      <c r="K10" s="210"/>
      <c r="L10" s="210"/>
      <c r="M10" s="210"/>
      <c r="N10" s="210"/>
      <c r="O10" s="211"/>
    </row>
    <row r="11" spans="1:15" ht="15.75" customHeight="1" x14ac:dyDescent="0.75">
      <c r="A11" s="263" t="s">
        <v>232</v>
      </c>
      <c r="B11" s="210"/>
      <c r="C11" s="211"/>
      <c r="D11" s="240" t="s">
        <v>266</v>
      </c>
      <c r="E11" s="210"/>
      <c r="F11" s="210"/>
      <c r="G11" s="211"/>
      <c r="H11" s="253" t="s">
        <v>270</v>
      </c>
      <c r="I11" s="210"/>
      <c r="J11" s="210"/>
      <c r="K11" s="210"/>
      <c r="L11" s="210"/>
      <c r="M11" s="210"/>
      <c r="N11" s="210"/>
      <c r="O11" s="211"/>
    </row>
    <row r="12" spans="1:15" ht="14.25" customHeight="1" x14ac:dyDescent="0.75">
      <c r="A12" s="268" t="s">
        <v>271</v>
      </c>
      <c r="B12" s="242"/>
      <c r="C12" s="242"/>
      <c r="D12" s="242"/>
      <c r="E12" s="242"/>
      <c r="F12" s="242"/>
      <c r="G12" s="243"/>
      <c r="H12" s="240" t="s">
        <v>235</v>
      </c>
      <c r="I12" s="210"/>
      <c r="J12" s="210"/>
      <c r="K12" s="210"/>
      <c r="L12" s="210"/>
      <c r="M12" s="210"/>
      <c r="N12" s="210"/>
      <c r="O12" s="211"/>
    </row>
    <row r="13" spans="1:15" ht="15" customHeight="1" x14ac:dyDescent="0.75">
      <c r="A13" s="249" t="s">
        <v>288</v>
      </c>
      <c r="B13" s="207"/>
      <c r="C13" s="207"/>
      <c r="D13" s="207"/>
      <c r="E13" s="207"/>
      <c r="F13" s="207"/>
      <c r="G13" s="245"/>
      <c r="H13" s="240" t="s">
        <v>236</v>
      </c>
      <c r="I13" s="211"/>
      <c r="J13" s="240" t="s">
        <v>237</v>
      </c>
      <c r="K13" s="211"/>
      <c r="L13" s="129" t="s">
        <v>238</v>
      </c>
      <c r="M13" s="240" t="s">
        <v>272</v>
      </c>
      <c r="N13" s="210"/>
      <c r="O13" s="211"/>
    </row>
    <row r="14" spans="1:15" ht="15.75" customHeight="1" x14ac:dyDescent="0.75">
      <c r="A14" s="244"/>
      <c r="B14" s="207"/>
      <c r="C14" s="207"/>
      <c r="D14" s="207"/>
      <c r="E14" s="207"/>
      <c r="F14" s="207"/>
      <c r="G14" s="245"/>
      <c r="H14" s="252" t="s">
        <v>240</v>
      </c>
      <c r="I14" s="211"/>
      <c r="J14" s="241"/>
      <c r="K14" s="211"/>
      <c r="L14" s="149" t="str">
        <f>IFERROR(J14/M14,"")</f>
        <v/>
      </c>
      <c r="M14" s="252">
        <v>0</v>
      </c>
      <c r="N14" s="210"/>
      <c r="O14" s="211"/>
    </row>
    <row r="15" spans="1:15" ht="15.75" customHeight="1" x14ac:dyDescent="0.75">
      <c r="A15" s="244"/>
      <c r="B15" s="207"/>
      <c r="C15" s="207"/>
      <c r="D15" s="207"/>
      <c r="E15" s="207"/>
      <c r="F15" s="207"/>
      <c r="G15" s="245"/>
      <c r="H15" s="252">
        <v>2024</v>
      </c>
      <c r="I15" s="211"/>
      <c r="J15" s="252"/>
      <c r="K15" s="211"/>
      <c r="L15" s="149">
        <f>IFERROR(J15/M15,"")</f>
        <v>0</v>
      </c>
      <c r="M15" s="269">
        <f>D9</f>
        <v>20000</v>
      </c>
      <c r="N15" s="210"/>
      <c r="O15" s="211"/>
    </row>
    <row r="16" spans="1:15" ht="15.75" customHeight="1" x14ac:dyDescent="0.75">
      <c r="A16" s="244"/>
      <c r="B16" s="207"/>
      <c r="C16" s="207"/>
      <c r="D16" s="207"/>
      <c r="E16" s="207"/>
      <c r="F16" s="207"/>
      <c r="G16" s="245"/>
      <c r="H16" s="252">
        <v>2025</v>
      </c>
      <c r="I16" s="211"/>
      <c r="J16" s="252"/>
      <c r="K16" s="211"/>
      <c r="L16" s="149">
        <f>IFERROR(J16/M16,"")</f>
        <v>0</v>
      </c>
      <c r="M16" s="269">
        <f>E9</f>
        <v>100000</v>
      </c>
      <c r="N16" s="210"/>
      <c r="O16" s="211"/>
    </row>
    <row r="17" spans="1:15" ht="15.75" customHeight="1" x14ac:dyDescent="0.75">
      <c r="A17" s="244"/>
      <c r="B17" s="207"/>
      <c r="C17" s="207"/>
      <c r="D17" s="207"/>
      <c r="E17" s="207"/>
      <c r="F17" s="207"/>
      <c r="G17" s="245"/>
      <c r="H17" s="252">
        <v>2026</v>
      </c>
      <c r="I17" s="211"/>
      <c r="J17" s="252"/>
      <c r="K17" s="211"/>
      <c r="L17" s="149">
        <f>IFERROR(J17/M17,"")</f>
        <v>0</v>
      </c>
      <c r="M17" s="269">
        <f>F9</f>
        <v>200000</v>
      </c>
      <c r="N17" s="210"/>
      <c r="O17" s="211"/>
    </row>
    <row r="18" spans="1:15" ht="15.75" customHeight="1" x14ac:dyDescent="0.75">
      <c r="A18" s="246"/>
      <c r="B18" s="216"/>
      <c r="C18" s="216"/>
      <c r="D18" s="216"/>
      <c r="E18" s="216"/>
      <c r="F18" s="216"/>
      <c r="G18" s="247"/>
      <c r="H18" s="252">
        <v>2027</v>
      </c>
      <c r="I18" s="211"/>
      <c r="J18" s="252"/>
      <c r="K18" s="211"/>
      <c r="L18" s="149">
        <f>IFERROR(J18/M18,"")</f>
        <v>0</v>
      </c>
      <c r="M18" s="269">
        <f>G9</f>
        <v>300000</v>
      </c>
      <c r="N18" s="210"/>
      <c r="O18" s="211"/>
    </row>
    <row r="19" spans="1:15" ht="40" customHeight="1" x14ac:dyDescent="0.75">
      <c r="A19" s="54" t="s">
        <v>241</v>
      </c>
      <c r="B19" s="270" t="s">
        <v>289</v>
      </c>
      <c r="C19" s="210"/>
      <c r="D19" s="210"/>
      <c r="E19" s="210"/>
      <c r="F19" s="210"/>
      <c r="G19" s="210"/>
      <c r="H19" s="210"/>
      <c r="I19" s="210"/>
      <c r="J19" s="210"/>
      <c r="K19" s="210"/>
      <c r="L19" s="210"/>
      <c r="M19" s="210"/>
      <c r="N19" s="210"/>
      <c r="O19" s="211"/>
    </row>
    <row r="20" spans="1:15" ht="40" customHeight="1" x14ac:dyDescent="0.75">
      <c r="A20" s="54" t="s">
        <v>242</v>
      </c>
      <c r="B20" s="250" t="s">
        <v>274</v>
      </c>
      <c r="C20" s="210"/>
      <c r="D20" s="210"/>
      <c r="E20" s="210"/>
      <c r="F20" s="210"/>
      <c r="G20" s="210"/>
      <c r="H20" s="210"/>
      <c r="I20" s="210"/>
      <c r="J20" s="210"/>
      <c r="K20" s="210"/>
      <c r="L20" s="210"/>
      <c r="M20" s="210"/>
      <c r="N20" s="210"/>
      <c r="O20" s="211"/>
    </row>
    <row r="21" spans="1:15" ht="40" customHeight="1" x14ac:dyDescent="0.75">
      <c r="A21" s="54" t="s">
        <v>243</v>
      </c>
      <c r="B21" s="250" t="s">
        <v>275</v>
      </c>
      <c r="C21" s="210"/>
      <c r="D21" s="210"/>
      <c r="E21" s="210"/>
      <c r="F21" s="210"/>
      <c r="G21" s="210"/>
      <c r="H21" s="210"/>
      <c r="I21" s="210"/>
      <c r="J21" s="210"/>
      <c r="K21" s="210"/>
      <c r="L21" s="210"/>
      <c r="M21" s="210"/>
      <c r="N21" s="210"/>
      <c r="O21" s="211"/>
    </row>
    <row r="22" spans="1:15" ht="40" customHeight="1" x14ac:dyDescent="0.75">
      <c r="A22" s="54" t="s">
        <v>276</v>
      </c>
      <c r="B22" s="250" t="s">
        <v>277</v>
      </c>
      <c r="C22" s="210"/>
      <c r="D22" s="210"/>
      <c r="E22" s="210"/>
      <c r="F22" s="210"/>
      <c r="G22" s="210"/>
      <c r="H22" s="210"/>
      <c r="I22" s="210"/>
      <c r="J22" s="210"/>
      <c r="K22" s="210"/>
      <c r="L22" s="210"/>
      <c r="M22" s="210"/>
      <c r="N22" s="210"/>
      <c r="O22" s="211"/>
    </row>
    <row r="23" spans="1:15" ht="28" customHeight="1" x14ac:dyDescent="0.75">
      <c r="A23" s="54" t="s">
        <v>278</v>
      </c>
      <c r="B23" s="250" t="s">
        <v>279</v>
      </c>
      <c r="C23" s="210"/>
      <c r="D23" s="210"/>
      <c r="E23" s="210"/>
      <c r="F23" s="210"/>
      <c r="G23" s="210"/>
      <c r="H23" s="210"/>
      <c r="I23" s="210"/>
      <c r="J23" s="210"/>
      <c r="K23" s="210"/>
      <c r="L23" s="210"/>
      <c r="M23" s="210"/>
      <c r="N23" s="210"/>
      <c r="O23" s="211"/>
    </row>
    <row r="24" spans="1:15" ht="40" customHeight="1" x14ac:dyDescent="0.75">
      <c r="A24" s="54" t="s">
        <v>249</v>
      </c>
      <c r="B24" s="250" t="s">
        <v>544</v>
      </c>
      <c r="C24" s="210"/>
      <c r="D24" s="210"/>
      <c r="E24" s="210"/>
      <c r="F24" s="210"/>
      <c r="G24" s="210"/>
      <c r="H24" s="210"/>
      <c r="I24" s="210"/>
      <c r="J24" s="210"/>
      <c r="K24" s="210"/>
      <c r="L24" s="210"/>
      <c r="M24" s="210"/>
      <c r="N24" s="210"/>
      <c r="O24" s="211"/>
    </row>
    <row r="25" spans="1:15" ht="40" customHeight="1" x14ac:dyDescent="0.75">
      <c r="A25" s="54" t="s">
        <v>251</v>
      </c>
      <c r="B25" s="270" t="s">
        <v>545</v>
      </c>
      <c r="C25" s="210"/>
      <c r="D25" s="210"/>
      <c r="E25" s="210"/>
      <c r="F25" s="210"/>
      <c r="G25" s="210"/>
      <c r="H25" s="210"/>
      <c r="I25" s="210"/>
      <c r="J25" s="210"/>
      <c r="K25" s="210"/>
      <c r="L25" s="210"/>
      <c r="M25" s="210"/>
      <c r="N25" s="210"/>
      <c r="O25" s="211"/>
    </row>
    <row r="26" spans="1:15" ht="40" customHeight="1" x14ac:dyDescent="0.75">
      <c r="A26" s="54" t="s">
        <v>253</v>
      </c>
      <c r="B26" s="270" t="s">
        <v>546</v>
      </c>
      <c r="C26" s="210"/>
      <c r="D26" s="210"/>
      <c r="E26" s="210"/>
      <c r="F26" s="210"/>
      <c r="G26" s="210"/>
      <c r="H26" s="210"/>
      <c r="I26" s="210"/>
      <c r="J26" s="210"/>
      <c r="K26" s="210"/>
      <c r="L26" s="210"/>
      <c r="M26" s="210"/>
      <c r="N26" s="210"/>
      <c r="O26" s="211"/>
    </row>
    <row r="27" spans="1:15" ht="28" customHeight="1" x14ac:dyDescent="0.75">
      <c r="A27" s="54" t="s">
        <v>283</v>
      </c>
      <c r="B27" s="271" t="s">
        <v>284</v>
      </c>
      <c r="C27" s="210"/>
      <c r="D27" s="210"/>
      <c r="E27" s="210"/>
      <c r="F27" s="210"/>
      <c r="G27" s="210"/>
      <c r="H27" s="210"/>
      <c r="I27" s="210"/>
      <c r="J27" s="210"/>
      <c r="K27" s="210"/>
      <c r="L27" s="210"/>
      <c r="M27" s="210"/>
      <c r="N27" s="210"/>
      <c r="O27" s="211"/>
    </row>
    <row r="28" spans="1:15" ht="40" customHeight="1" x14ac:dyDescent="0.75">
      <c r="A28" s="54" t="s">
        <v>257</v>
      </c>
      <c r="B28" s="274" t="s">
        <v>547</v>
      </c>
      <c r="C28" s="275"/>
      <c r="D28" s="275"/>
      <c r="E28" s="275"/>
      <c r="F28" s="275"/>
      <c r="G28" s="275"/>
      <c r="H28" s="275"/>
      <c r="I28" s="275"/>
      <c r="J28" s="275"/>
      <c r="K28" s="275"/>
      <c r="L28" s="275"/>
      <c r="M28" s="275"/>
      <c r="N28" s="275"/>
      <c r="O28" s="276"/>
    </row>
    <row r="29" spans="1:15" ht="28" customHeight="1" x14ac:dyDescent="0.75">
      <c r="A29" s="54" t="s">
        <v>258</v>
      </c>
      <c r="B29" s="273" t="s">
        <v>268</v>
      </c>
      <c r="C29" s="210"/>
      <c r="D29" s="210"/>
      <c r="E29" s="210"/>
      <c r="F29" s="210"/>
      <c r="G29" s="210"/>
      <c r="H29" s="210"/>
      <c r="I29" s="210"/>
      <c r="J29" s="210"/>
      <c r="K29" s="210"/>
      <c r="L29" s="210"/>
      <c r="M29" s="210"/>
      <c r="N29" s="210"/>
      <c r="O29" s="211"/>
    </row>
    <row r="30" spans="1:15" ht="28" customHeight="1" x14ac:dyDescent="0.75">
      <c r="A30" s="54" t="s">
        <v>259</v>
      </c>
      <c r="B30" s="270" t="s">
        <v>548</v>
      </c>
      <c r="C30" s="210"/>
      <c r="D30" s="210"/>
      <c r="E30" s="210"/>
      <c r="F30" s="210"/>
      <c r="G30" s="210"/>
      <c r="H30" s="210"/>
      <c r="I30" s="210"/>
      <c r="J30" s="210"/>
      <c r="K30" s="210"/>
      <c r="L30" s="210"/>
      <c r="M30" s="210"/>
      <c r="N30" s="210"/>
      <c r="O30" s="211"/>
    </row>
    <row r="31" spans="1:15" ht="28" customHeight="1" x14ac:dyDescent="0.75">
      <c r="A31" s="54" t="s">
        <v>261</v>
      </c>
      <c r="B31" s="270" t="s">
        <v>543</v>
      </c>
      <c r="C31" s="210"/>
      <c r="D31" s="210"/>
      <c r="E31" s="210"/>
      <c r="F31" s="210"/>
      <c r="G31" s="210"/>
      <c r="H31" s="210"/>
      <c r="I31" s="210"/>
      <c r="J31" s="210"/>
      <c r="K31" s="210"/>
      <c r="L31" s="210"/>
      <c r="M31" s="210"/>
      <c r="N31" s="210"/>
      <c r="O31" s="211"/>
    </row>
    <row r="32" spans="1:15" ht="68" customHeight="1" x14ac:dyDescent="0.75">
      <c r="A32" s="54" t="s">
        <v>285</v>
      </c>
      <c r="B32" s="271" t="s">
        <v>286</v>
      </c>
      <c r="C32" s="210"/>
      <c r="D32" s="210"/>
      <c r="E32" s="210"/>
      <c r="F32" s="210"/>
      <c r="G32" s="210"/>
      <c r="H32" s="210"/>
      <c r="I32" s="210"/>
      <c r="J32" s="210"/>
      <c r="K32" s="210"/>
      <c r="L32" s="210"/>
      <c r="M32" s="210"/>
      <c r="N32" s="210"/>
      <c r="O32" s="211"/>
    </row>
  </sheetData>
  <mergeCells count="54">
    <mergeCell ref="B32:O32"/>
    <mergeCell ref="J17:K17"/>
    <mergeCell ref="B30:O30"/>
    <mergeCell ref="B24:O24"/>
    <mergeCell ref="H18:I18"/>
    <mergeCell ref="B29:O29"/>
    <mergeCell ref="B28:O28"/>
    <mergeCell ref="B26:O26"/>
    <mergeCell ref="B25:O25"/>
    <mergeCell ref="A1:O1"/>
    <mergeCell ref="J18:K18"/>
    <mergeCell ref="B20:O20"/>
    <mergeCell ref="H14:I14"/>
    <mergeCell ref="C2:G2"/>
    <mergeCell ref="K2:O2"/>
    <mergeCell ref="H3:H4"/>
    <mergeCell ref="H5:H9"/>
    <mergeCell ref="J3:J4"/>
    <mergeCell ref="B19:O19"/>
    <mergeCell ref="D11:G11"/>
    <mergeCell ref="H13:I13"/>
    <mergeCell ref="H12:O12"/>
    <mergeCell ref="A11:C11"/>
    <mergeCell ref="C3:C4"/>
    <mergeCell ref="H2:J2"/>
    <mergeCell ref="B31:O31"/>
    <mergeCell ref="J13:K13"/>
    <mergeCell ref="B22:O22"/>
    <mergeCell ref="A10:G10"/>
    <mergeCell ref="M15:O15"/>
    <mergeCell ref="B27:O27"/>
    <mergeCell ref="B21:O21"/>
    <mergeCell ref="M18:O18"/>
    <mergeCell ref="J15:K15"/>
    <mergeCell ref="B23:O23"/>
    <mergeCell ref="H17:I17"/>
    <mergeCell ref="M14:O14"/>
    <mergeCell ref="D3:G3"/>
    <mergeCell ref="I5:I9"/>
    <mergeCell ref="M16:O16"/>
    <mergeCell ref="A3:A9"/>
    <mergeCell ref="B3:B4"/>
    <mergeCell ref="J14:K14"/>
    <mergeCell ref="K3:O9"/>
    <mergeCell ref="A12:G18"/>
    <mergeCell ref="M13:O13"/>
    <mergeCell ref="H10:O10"/>
    <mergeCell ref="J5:J9"/>
    <mergeCell ref="H16:I16"/>
    <mergeCell ref="H11:O11"/>
    <mergeCell ref="J16:K16"/>
    <mergeCell ref="H15:I15"/>
    <mergeCell ref="I3:I4"/>
    <mergeCell ref="M17:O17"/>
  </mergeCells>
  <printOptions horizontalCentered="1"/>
  <pageMargins left="0.7" right="0.7" top="0.75" bottom="0.75" header="0.511811023622047" footer="0.511811023622047"/>
  <pageSetup paperSize="9" scale="50" fitToHeight="0"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2"/>
  <sheetViews>
    <sheetView topLeftCell="A9" zoomScale="70" zoomScaleNormal="70" workbookViewId="0">
      <selection activeCell="L16" sqref="L16"/>
    </sheetView>
  </sheetViews>
  <sheetFormatPr baseColWidth="10" defaultColWidth="11.453125" defaultRowHeight="14.75" x14ac:dyDescent="0.75"/>
  <cols>
    <col min="1" max="1" width="30.6796875" style="117" customWidth="1"/>
    <col min="2" max="2" width="15.31640625" style="117" bestFit="1" customWidth="1"/>
    <col min="3" max="3" width="12" style="117" customWidth="1"/>
    <col min="4" max="4" width="10" style="117" bestFit="1" customWidth="1"/>
    <col min="5" max="5" width="13" style="124" customWidth="1"/>
    <col min="6" max="6" width="10" style="117" bestFit="1" customWidth="1"/>
    <col min="7" max="7" width="13" style="124" customWidth="1"/>
    <col min="8" max="8" width="13.54296875" style="117" customWidth="1"/>
    <col min="9" max="10" width="11.453125" style="117" customWidth="1"/>
    <col min="11" max="11" width="9" style="117" customWidth="1"/>
    <col min="12" max="13" width="11.453125" style="117" customWidth="1"/>
    <col min="14" max="14" width="7.453125" style="117" customWidth="1"/>
    <col min="15" max="15" width="11.453125" style="117" customWidth="1"/>
    <col min="16" max="16384" width="11.453125" style="117"/>
  </cols>
  <sheetData>
    <row r="1" spans="1:15" ht="17.399999999999999" customHeight="1" x14ac:dyDescent="0.75">
      <c r="A1" s="290" t="s">
        <v>295</v>
      </c>
      <c r="B1" s="280"/>
      <c r="C1" s="280"/>
      <c r="D1" s="280"/>
      <c r="E1" s="207"/>
      <c r="F1" s="280"/>
      <c r="G1" s="207"/>
      <c r="H1" s="280"/>
      <c r="I1" s="280"/>
      <c r="J1" s="280"/>
      <c r="K1" s="280"/>
      <c r="L1" s="280"/>
      <c r="M1" s="280"/>
      <c r="N1" s="280"/>
      <c r="O1" s="280"/>
    </row>
    <row r="2" spans="1:15" ht="30" customHeight="1" x14ac:dyDescent="0.75">
      <c r="A2" s="140" t="s">
        <v>214</v>
      </c>
      <c r="B2" s="140" t="s">
        <v>215</v>
      </c>
      <c r="C2" s="286" t="s">
        <v>216</v>
      </c>
      <c r="D2" s="210"/>
      <c r="E2" s="210"/>
      <c r="F2" s="210"/>
      <c r="G2" s="211"/>
      <c r="H2" s="288" t="s">
        <v>217</v>
      </c>
      <c r="I2" s="210"/>
      <c r="J2" s="211"/>
      <c r="K2" s="286" t="s">
        <v>218</v>
      </c>
      <c r="L2" s="210"/>
      <c r="M2" s="210"/>
      <c r="N2" s="210"/>
      <c r="O2" s="211"/>
    </row>
    <row r="3" spans="1:15" ht="14.7" customHeight="1" x14ac:dyDescent="0.75">
      <c r="A3" s="277" t="s">
        <v>290</v>
      </c>
      <c r="B3" s="281"/>
      <c r="C3" s="287" t="s">
        <v>219</v>
      </c>
      <c r="D3" s="277" t="s">
        <v>220</v>
      </c>
      <c r="E3" s="210"/>
      <c r="F3" s="210"/>
      <c r="G3" s="211"/>
      <c r="H3" s="287" t="s">
        <v>38</v>
      </c>
      <c r="I3" s="287" t="s">
        <v>221</v>
      </c>
      <c r="J3" s="287" t="s">
        <v>222</v>
      </c>
      <c r="K3" s="279" t="s">
        <v>267</v>
      </c>
      <c r="L3" s="242"/>
      <c r="M3" s="242"/>
      <c r="N3" s="242"/>
      <c r="O3" s="243"/>
    </row>
    <row r="4" spans="1:15" ht="37.5" customHeight="1" x14ac:dyDescent="0.75">
      <c r="A4" s="224"/>
      <c r="B4" s="213"/>
      <c r="C4" s="213"/>
      <c r="D4" s="138">
        <v>2024</v>
      </c>
      <c r="E4" s="138">
        <v>2025</v>
      </c>
      <c r="F4" s="138">
        <v>2026</v>
      </c>
      <c r="G4" s="138">
        <v>2027</v>
      </c>
      <c r="H4" s="213"/>
      <c r="I4" s="213"/>
      <c r="J4" s="213"/>
      <c r="K4" s="244"/>
      <c r="L4" s="280"/>
      <c r="M4" s="280"/>
      <c r="N4" s="280"/>
      <c r="O4" s="245"/>
    </row>
    <row r="5" spans="1:15" ht="14.7" customHeight="1" x14ac:dyDescent="0.75">
      <c r="A5" s="224"/>
      <c r="B5" s="139" t="s">
        <v>224</v>
      </c>
      <c r="C5" s="118"/>
      <c r="D5" s="118"/>
      <c r="E5" s="118"/>
      <c r="F5" s="118"/>
      <c r="G5" s="118"/>
      <c r="H5" s="262" t="s">
        <v>268</v>
      </c>
      <c r="I5" s="278" t="s">
        <v>269</v>
      </c>
      <c r="J5" s="278" t="s">
        <v>46</v>
      </c>
      <c r="K5" s="244"/>
      <c r="L5" s="280"/>
      <c r="M5" s="280"/>
      <c r="N5" s="280"/>
      <c r="O5" s="245"/>
    </row>
    <row r="6" spans="1:15" x14ac:dyDescent="0.75">
      <c r="A6" s="224"/>
      <c r="B6" s="139" t="s">
        <v>227</v>
      </c>
      <c r="C6" s="118"/>
      <c r="D6" s="118"/>
      <c r="E6" s="118"/>
      <c r="F6" s="118"/>
      <c r="G6" s="118"/>
      <c r="H6" s="224"/>
      <c r="I6" s="224"/>
      <c r="J6" s="224"/>
      <c r="K6" s="244"/>
      <c r="L6" s="280"/>
      <c r="M6" s="280"/>
      <c r="N6" s="280"/>
      <c r="O6" s="245"/>
    </row>
    <row r="7" spans="1:15" x14ac:dyDescent="0.75">
      <c r="A7" s="224"/>
      <c r="B7" s="139" t="s">
        <v>228</v>
      </c>
      <c r="C7" s="119"/>
      <c r="D7" s="119"/>
      <c r="E7" s="119"/>
      <c r="F7" s="119"/>
      <c r="G7" s="119"/>
      <c r="H7" s="224"/>
      <c r="I7" s="224"/>
      <c r="J7" s="224"/>
      <c r="K7" s="244"/>
      <c r="L7" s="280"/>
      <c r="M7" s="280"/>
      <c r="N7" s="280"/>
      <c r="O7" s="245"/>
    </row>
    <row r="8" spans="1:15" x14ac:dyDescent="0.75">
      <c r="A8" s="224"/>
      <c r="B8" s="139" t="s">
        <v>229</v>
      </c>
      <c r="C8" s="119"/>
      <c r="D8" s="119"/>
      <c r="E8" s="119"/>
      <c r="F8" s="119"/>
      <c r="G8" s="119"/>
      <c r="H8" s="224"/>
      <c r="I8" s="224"/>
      <c r="J8" s="224"/>
      <c r="K8" s="244"/>
      <c r="L8" s="280"/>
      <c r="M8" s="280"/>
      <c r="N8" s="280"/>
      <c r="O8" s="245"/>
    </row>
    <row r="9" spans="1:15" x14ac:dyDescent="0.75">
      <c r="A9" s="213"/>
      <c r="B9" s="120" t="s">
        <v>230</v>
      </c>
      <c r="C9" s="121">
        <v>0</v>
      </c>
      <c r="D9" s="122">
        <v>10000</v>
      </c>
      <c r="E9" s="122">
        <v>50000</v>
      </c>
      <c r="F9" s="122">
        <v>100000</v>
      </c>
      <c r="G9" s="122">
        <v>150000</v>
      </c>
      <c r="H9" s="213"/>
      <c r="I9" s="213"/>
      <c r="J9" s="213"/>
      <c r="K9" s="246"/>
      <c r="L9" s="216"/>
      <c r="M9" s="216"/>
      <c r="N9" s="216"/>
      <c r="O9" s="247"/>
    </row>
    <row r="10" spans="1:15" ht="27" customHeight="1" x14ac:dyDescent="0.75">
      <c r="A10" s="281" t="s">
        <v>231</v>
      </c>
      <c r="B10" s="210"/>
      <c r="C10" s="210"/>
      <c r="D10" s="210"/>
      <c r="E10" s="210"/>
      <c r="F10" s="210"/>
      <c r="G10" s="211"/>
      <c r="H10" s="283" t="s">
        <v>47</v>
      </c>
      <c r="I10" s="210"/>
      <c r="J10" s="210"/>
      <c r="K10" s="210"/>
      <c r="L10" s="210"/>
      <c r="M10" s="210"/>
      <c r="N10" s="210"/>
      <c r="O10" s="211"/>
    </row>
    <row r="11" spans="1:15" x14ac:dyDescent="0.75">
      <c r="A11" s="291" t="s">
        <v>232</v>
      </c>
      <c r="B11" s="210"/>
      <c r="C11" s="211"/>
      <c r="D11" s="277" t="s">
        <v>290</v>
      </c>
      <c r="E11" s="210"/>
      <c r="F11" s="210"/>
      <c r="G11" s="211"/>
      <c r="H11" s="285" t="s">
        <v>291</v>
      </c>
      <c r="I11" s="210"/>
      <c r="J11" s="210"/>
      <c r="K11" s="210"/>
      <c r="L11" s="210"/>
      <c r="M11" s="210"/>
      <c r="N11" s="210"/>
      <c r="O11" s="211"/>
    </row>
    <row r="12" spans="1:15" ht="14.7" customHeight="1" x14ac:dyDescent="0.75">
      <c r="A12" s="282" t="s">
        <v>292</v>
      </c>
      <c r="B12" s="242"/>
      <c r="C12" s="242"/>
      <c r="D12" s="242"/>
      <c r="E12" s="242"/>
      <c r="F12" s="242"/>
      <c r="G12" s="243"/>
      <c r="H12" s="277" t="s">
        <v>235</v>
      </c>
      <c r="I12" s="210"/>
      <c r="J12" s="210"/>
      <c r="K12" s="210"/>
      <c r="L12" s="210"/>
      <c r="M12" s="210"/>
      <c r="N12" s="210"/>
      <c r="O12" s="211"/>
    </row>
    <row r="13" spans="1:15" x14ac:dyDescent="0.75">
      <c r="A13" s="249" t="s">
        <v>296</v>
      </c>
      <c r="B13" s="280"/>
      <c r="C13" s="280"/>
      <c r="D13" s="280"/>
      <c r="E13" s="207"/>
      <c r="F13" s="280"/>
      <c r="G13" s="245"/>
      <c r="H13" s="277" t="s">
        <v>236</v>
      </c>
      <c r="I13" s="211"/>
      <c r="J13" s="277" t="s">
        <v>237</v>
      </c>
      <c r="K13" s="211"/>
      <c r="L13" s="138" t="s">
        <v>238</v>
      </c>
      <c r="M13" s="277" t="s">
        <v>272</v>
      </c>
      <c r="N13" s="210"/>
      <c r="O13" s="211"/>
    </row>
    <row r="14" spans="1:15" ht="15.5" x14ac:dyDescent="0.75">
      <c r="A14" s="244"/>
      <c r="B14" s="280"/>
      <c r="C14" s="280"/>
      <c r="D14" s="280"/>
      <c r="E14" s="207"/>
      <c r="F14" s="280"/>
      <c r="G14" s="245"/>
      <c r="H14" s="284" t="s">
        <v>240</v>
      </c>
      <c r="I14" s="211"/>
      <c r="J14" s="278"/>
      <c r="K14" s="211"/>
      <c r="L14" s="150" t="str">
        <f>IFERROR(J14/M14,"")</f>
        <v/>
      </c>
      <c r="M14" s="284">
        <v>0</v>
      </c>
      <c r="N14" s="210"/>
      <c r="O14" s="211"/>
    </row>
    <row r="15" spans="1:15" ht="15.5" x14ac:dyDescent="0.75">
      <c r="A15" s="244"/>
      <c r="B15" s="280"/>
      <c r="C15" s="280"/>
      <c r="D15" s="280"/>
      <c r="E15" s="207"/>
      <c r="F15" s="280"/>
      <c r="G15" s="245"/>
      <c r="H15" s="284">
        <v>2024</v>
      </c>
      <c r="I15" s="211"/>
      <c r="J15" s="284"/>
      <c r="K15" s="211"/>
      <c r="L15" s="150">
        <f>IFERROR(J15/M15,"")</f>
        <v>0</v>
      </c>
      <c r="M15" s="289">
        <f>D9</f>
        <v>10000</v>
      </c>
      <c r="N15" s="210"/>
      <c r="O15" s="211"/>
    </row>
    <row r="16" spans="1:15" ht="15.5" x14ac:dyDescent="0.75">
      <c r="A16" s="244"/>
      <c r="B16" s="280"/>
      <c r="C16" s="280"/>
      <c r="D16" s="280"/>
      <c r="E16" s="207"/>
      <c r="F16" s="280"/>
      <c r="G16" s="245"/>
      <c r="H16" s="284">
        <v>2025</v>
      </c>
      <c r="I16" s="211"/>
      <c r="J16" s="284"/>
      <c r="K16" s="211"/>
      <c r="L16" s="150">
        <f>IFERROR(J16/M16,"")</f>
        <v>0</v>
      </c>
      <c r="M16" s="289">
        <f>E9</f>
        <v>50000</v>
      </c>
      <c r="N16" s="210"/>
      <c r="O16" s="211"/>
    </row>
    <row r="17" spans="1:15" ht="15.5" x14ac:dyDescent="0.75">
      <c r="A17" s="244"/>
      <c r="B17" s="280"/>
      <c r="C17" s="280"/>
      <c r="D17" s="280"/>
      <c r="E17" s="207"/>
      <c r="F17" s="280"/>
      <c r="G17" s="245"/>
      <c r="H17" s="284">
        <v>2026</v>
      </c>
      <c r="I17" s="211"/>
      <c r="J17" s="284"/>
      <c r="K17" s="211"/>
      <c r="L17" s="150">
        <f>IFERROR(J17/M17,"")</f>
        <v>0</v>
      </c>
      <c r="M17" s="289">
        <f>F9</f>
        <v>100000</v>
      </c>
      <c r="N17" s="210"/>
      <c r="O17" s="211"/>
    </row>
    <row r="18" spans="1:15" ht="15.5" x14ac:dyDescent="0.75">
      <c r="A18" s="246"/>
      <c r="B18" s="216"/>
      <c r="C18" s="216"/>
      <c r="D18" s="216"/>
      <c r="E18" s="216"/>
      <c r="F18" s="216"/>
      <c r="G18" s="247"/>
      <c r="H18" s="284">
        <v>2027</v>
      </c>
      <c r="I18" s="211"/>
      <c r="J18" s="284"/>
      <c r="K18" s="211"/>
      <c r="L18" s="150">
        <f>IFERROR(J18/M18,"")</f>
        <v>0</v>
      </c>
      <c r="M18" s="289">
        <f>G9</f>
        <v>150000</v>
      </c>
      <c r="N18" s="210"/>
      <c r="O18" s="211"/>
    </row>
    <row r="19" spans="1:15" ht="40" customHeight="1" x14ac:dyDescent="0.75">
      <c r="A19" s="123" t="s">
        <v>241</v>
      </c>
      <c r="B19" s="270" t="s">
        <v>289</v>
      </c>
      <c r="C19" s="210"/>
      <c r="D19" s="210"/>
      <c r="E19" s="210"/>
      <c r="F19" s="210"/>
      <c r="G19" s="210"/>
      <c r="H19" s="210"/>
      <c r="I19" s="210"/>
      <c r="J19" s="210"/>
      <c r="K19" s="210"/>
      <c r="L19" s="210"/>
      <c r="M19" s="210"/>
      <c r="N19" s="210"/>
      <c r="O19" s="211"/>
    </row>
    <row r="20" spans="1:15" ht="40" customHeight="1" x14ac:dyDescent="0.75">
      <c r="A20" s="123" t="s">
        <v>242</v>
      </c>
      <c r="B20" s="250" t="s">
        <v>274</v>
      </c>
      <c r="C20" s="210"/>
      <c r="D20" s="210"/>
      <c r="E20" s="210"/>
      <c r="F20" s="210"/>
      <c r="G20" s="210"/>
      <c r="H20" s="210"/>
      <c r="I20" s="210"/>
      <c r="J20" s="210"/>
      <c r="K20" s="210"/>
      <c r="L20" s="210"/>
      <c r="M20" s="210"/>
      <c r="N20" s="210"/>
      <c r="O20" s="211"/>
    </row>
    <row r="21" spans="1:15" ht="40" customHeight="1" x14ac:dyDescent="0.75">
      <c r="A21" s="123" t="s">
        <v>243</v>
      </c>
      <c r="B21" s="250" t="s">
        <v>275</v>
      </c>
      <c r="C21" s="210"/>
      <c r="D21" s="210"/>
      <c r="E21" s="210"/>
      <c r="F21" s="210"/>
      <c r="G21" s="210"/>
      <c r="H21" s="210"/>
      <c r="I21" s="210"/>
      <c r="J21" s="210"/>
      <c r="K21" s="210"/>
      <c r="L21" s="210"/>
      <c r="M21" s="210"/>
      <c r="N21" s="210"/>
      <c r="O21" s="211"/>
    </row>
    <row r="22" spans="1:15" ht="40" customHeight="1" x14ac:dyDescent="0.75">
      <c r="A22" s="123" t="s">
        <v>276</v>
      </c>
      <c r="B22" s="250" t="s">
        <v>277</v>
      </c>
      <c r="C22" s="210"/>
      <c r="D22" s="210"/>
      <c r="E22" s="210"/>
      <c r="F22" s="210"/>
      <c r="G22" s="210"/>
      <c r="H22" s="210"/>
      <c r="I22" s="210"/>
      <c r="J22" s="210"/>
      <c r="K22" s="210"/>
      <c r="L22" s="210"/>
      <c r="M22" s="210"/>
      <c r="N22" s="210"/>
      <c r="O22" s="211"/>
    </row>
    <row r="23" spans="1:15" ht="28" customHeight="1" x14ac:dyDescent="0.75">
      <c r="A23" s="123" t="s">
        <v>278</v>
      </c>
      <c r="B23" s="250" t="s">
        <v>279</v>
      </c>
      <c r="C23" s="210"/>
      <c r="D23" s="210"/>
      <c r="E23" s="210"/>
      <c r="F23" s="210"/>
      <c r="G23" s="210"/>
      <c r="H23" s="210"/>
      <c r="I23" s="210"/>
      <c r="J23" s="210"/>
      <c r="K23" s="210"/>
      <c r="L23" s="210"/>
      <c r="M23" s="210"/>
      <c r="N23" s="210"/>
      <c r="O23" s="211"/>
    </row>
    <row r="24" spans="1:15" ht="28" customHeight="1" x14ac:dyDescent="0.75">
      <c r="A24" s="123" t="s">
        <v>249</v>
      </c>
      <c r="B24" s="250" t="s">
        <v>544</v>
      </c>
      <c r="C24" s="210"/>
      <c r="D24" s="210"/>
      <c r="E24" s="210"/>
      <c r="F24" s="210"/>
      <c r="G24" s="210"/>
      <c r="H24" s="210"/>
      <c r="I24" s="210"/>
      <c r="J24" s="210"/>
      <c r="K24" s="210"/>
      <c r="L24" s="210"/>
      <c r="M24" s="210"/>
      <c r="N24" s="210"/>
      <c r="O24" s="211"/>
    </row>
    <row r="25" spans="1:15" ht="28" customHeight="1" x14ac:dyDescent="0.75">
      <c r="A25" s="123" t="s">
        <v>251</v>
      </c>
      <c r="B25" s="270" t="s">
        <v>545</v>
      </c>
      <c r="C25" s="210"/>
      <c r="D25" s="210"/>
      <c r="E25" s="210"/>
      <c r="F25" s="210"/>
      <c r="G25" s="210"/>
      <c r="H25" s="210"/>
      <c r="I25" s="210"/>
      <c r="J25" s="210"/>
      <c r="K25" s="210"/>
      <c r="L25" s="210"/>
      <c r="M25" s="210"/>
      <c r="N25" s="210"/>
      <c r="O25" s="211"/>
    </row>
    <row r="26" spans="1:15" ht="40" customHeight="1" x14ac:dyDescent="0.75">
      <c r="A26" s="123" t="s">
        <v>253</v>
      </c>
      <c r="B26" s="270" t="s">
        <v>546</v>
      </c>
      <c r="C26" s="210"/>
      <c r="D26" s="210"/>
      <c r="E26" s="210"/>
      <c r="F26" s="210"/>
      <c r="G26" s="210"/>
      <c r="H26" s="210"/>
      <c r="I26" s="210"/>
      <c r="J26" s="210"/>
      <c r="K26" s="210"/>
      <c r="L26" s="210"/>
      <c r="M26" s="210"/>
      <c r="N26" s="210"/>
      <c r="O26" s="211"/>
    </row>
    <row r="27" spans="1:15" ht="28" customHeight="1" x14ac:dyDescent="0.75">
      <c r="A27" s="123" t="s">
        <v>283</v>
      </c>
      <c r="B27" s="271" t="s">
        <v>284</v>
      </c>
      <c r="C27" s="210"/>
      <c r="D27" s="210"/>
      <c r="E27" s="210"/>
      <c r="F27" s="210"/>
      <c r="G27" s="210"/>
      <c r="H27" s="210"/>
      <c r="I27" s="210"/>
      <c r="J27" s="210"/>
      <c r="K27" s="210"/>
      <c r="L27" s="210"/>
      <c r="M27" s="210"/>
      <c r="N27" s="210"/>
      <c r="O27" s="211"/>
    </row>
    <row r="28" spans="1:15" ht="40" customHeight="1" x14ac:dyDescent="0.75">
      <c r="A28" s="123" t="s">
        <v>257</v>
      </c>
      <c r="B28" s="274" t="s">
        <v>547</v>
      </c>
      <c r="C28" s="275"/>
      <c r="D28" s="275"/>
      <c r="E28" s="275"/>
      <c r="F28" s="275"/>
      <c r="G28" s="275"/>
      <c r="H28" s="275"/>
      <c r="I28" s="275"/>
      <c r="J28" s="275"/>
      <c r="K28" s="275"/>
      <c r="L28" s="275"/>
      <c r="M28" s="275"/>
      <c r="N28" s="275"/>
      <c r="O28" s="276"/>
    </row>
    <row r="29" spans="1:15" ht="28" customHeight="1" x14ac:dyDescent="0.75">
      <c r="A29" s="123" t="s">
        <v>294</v>
      </c>
      <c r="B29" s="273" t="s">
        <v>268</v>
      </c>
      <c r="C29" s="210"/>
      <c r="D29" s="210"/>
      <c r="E29" s="210"/>
      <c r="F29" s="210"/>
      <c r="G29" s="210"/>
      <c r="H29" s="210"/>
      <c r="I29" s="210"/>
      <c r="J29" s="210"/>
      <c r="K29" s="210"/>
      <c r="L29" s="210"/>
      <c r="M29" s="210"/>
      <c r="N29" s="210"/>
      <c r="O29" s="211"/>
    </row>
    <row r="30" spans="1:15" ht="28" customHeight="1" x14ac:dyDescent="0.75">
      <c r="A30" s="123" t="s">
        <v>259</v>
      </c>
      <c r="B30" s="270" t="s">
        <v>548</v>
      </c>
      <c r="C30" s="210"/>
      <c r="D30" s="210"/>
      <c r="E30" s="210"/>
      <c r="F30" s="210"/>
      <c r="G30" s="210"/>
      <c r="H30" s="210"/>
      <c r="I30" s="210"/>
      <c r="J30" s="210"/>
      <c r="K30" s="210"/>
      <c r="L30" s="210"/>
      <c r="M30" s="210"/>
      <c r="N30" s="210"/>
      <c r="O30" s="211"/>
    </row>
    <row r="31" spans="1:15" ht="28" customHeight="1" x14ac:dyDescent="0.75">
      <c r="A31" s="123" t="s">
        <v>261</v>
      </c>
      <c r="B31" s="270" t="s">
        <v>543</v>
      </c>
      <c r="C31" s="210"/>
      <c r="D31" s="210"/>
      <c r="E31" s="210"/>
      <c r="F31" s="210"/>
      <c r="G31" s="210"/>
      <c r="H31" s="210"/>
      <c r="I31" s="210"/>
      <c r="J31" s="210"/>
      <c r="K31" s="210"/>
      <c r="L31" s="210"/>
      <c r="M31" s="210"/>
      <c r="N31" s="210"/>
      <c r="O31" s="211"/>
    </row>
    <row r="32" spans="1:15" ht="68" customHeight="1" x14ac:dyDescent="0.75">
      <c r="A32" s="123" t="s">
        <v>285</v>
      </c>
      <c r="B32" s="271" t="s">
        <v>286</v>
      </c>
      <c r="C32" s="210"/>
      <c r="D32" s="210"/>
      <c r="E32" s="210"/>
      <c r="F32" s="210"/>
      <c r="G32" s="210"/>
      <c r="H32" s="210"/>
      <c r="I32" s="210"/>
      <c r="J32" s="210"/>
      <c r="K32" s="210"/>
      <c r="L32" s="210"/>
      <c r="M32" s="210"/>
      <c r="N32" s="210"/>
      <c r="O32" s="211"/>
    </row>
  </sheetData>
  <mergeCells count="54">
    <mergeCell ref="B32:O32"/>
    <mergeCell ref="J17:K17"/>
    <mergeCell ref="B30:O30"/>
    <mergeCell ref="H15:I15"/>
    <mergeCell ref="H18:I18"/>
    <mergeCell ref="B23:O23"/>
    <mergeCell ref="H17:I17"/>
    <mergeCell ref="B26:O26"/>
    <mergeCell ref="A1:O1"/>
    <mergeCell ref="J18:K18"/>
    <mergeCell ref="B20:O20"/>
    <mergeCell ref="H14:I14"/>
    <mergeCell ref="B29:O29"/>
    <mergeCell ref="J3:J4"/>
    <mergeCell ref="B19:O19"/>
    <mergeCell ref="D11:G11"/>
    <mergeCell ref="B28:O28"/>
    <mergeCell ref="H13:I13"/>
    <mergeCell ref="H12:O12"/>
    <mergeCell ref="A11:C11"/>
    <mergeCell ref="C3:C4"/>
    <mergeCell ref="B24:O24"/>
    <mergeCell ref="C2:G2"/>
    <mergeCell ref="J16:K16"/>
    <mergeCell ref="K2:O2"/>
    <mergeCell ref="H3:H4"/>
    <mergeCell ref="H5:H9"/>
    <mergeCell ref="H2:J2"/>
    <mergeCell ref="B31:O31"/>
    <mergeCell ref="M16:O16"/>
    <mergeCell ref="J13:K13"/>
    <mergeCell ref="B22:O22"/>
    <mergeCell ref="A10:G10"/>
    <mergeCell ref="M15:O15"/>
    <mergeCell ref="B27:O27"/>
    <mergeCell ref="B21:O21"/>
    <mergeCell ref="M18:O18"/>
    <mergeCell ref="J15:K15"/>
    <mergeCell ref="I3:I4"/>
    <mergeCell ref="M17:O17"/>
    <mergeCell ref="D3:G3"/>
    <mergeCell ref="I5:I9"/>
    <mergeCell ref="K3:O9"/>
    <mergeCell ref="B25:O25"/>
    <mergeCell ref="A3:A9"/>
    <mergeCell ref="B3:B4"/>
    <mergeCell ref="J14:K14"/>
    <mergeCell ref="A12:G18"/>
    <mergeCell ref="M13:O13"/>
    <mergeCell ref="H10:O10"/>
    <mergeCell ref="J5:J9"/>
    <mergeCell ref="H16:I16"/>
    <mergeCell ref="H11:O11"/>
    <mergeCell ref="M14:O14"/>
  </mergeCells>
  <printOptions horizontalCentered="1"/>
  <pageMargins left="0.7" right="0.7" top="0.75" bottom="0.75" header="0.3" footer="0.3"/>
  <pageSetup paperSize="9" scale="5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2"/>
  <sheetViews>
    <sheetView topLeftCell="A17" zoomScale="70" zoomScaleNormal="70" workbookViewId="0">
      <selection activeCell="B19" sqref="B19:O19"/>
    </sheetView>
  </sheetViews>
  <sheetFormatPr baseColWidth="10" defaultColWidth="11.453125" defaultRowHeight="14.75" x14ac:dyDescent="0.75"/>
  <cols>
    <col min="1" max="1" width="30.76953125" style="124" customWidth="1"/>
    <col min="2" max="2" width="15.453125" style="124" customWidth="1"/>
    <col min="3" max="3" width="13" style="124" customWidth="1"/>
    <col min="4" max="4" width="10" style="124" customWidth="1"/>
    <col min="5" max="7" width="13" style="124" customWidth="1"/>
    <col min="8" max="8" width="15.2265625" style="124" customWidth="1"/>
  </cols>
  <sheetData>
    <row r="1" spans="1:15" ht="18.75" customHeight="1" x14ac:dyDescent="0.75">
      <c r="A1" s="272" t="s">
        <v>316</v>
      </c>
      <c r="B1" s="207"/>
      <c r="C1" s="207"/>
      <c r="D1" s="207"/>
      <c r="E1" s="207"/>
      <c r="F1" s="207"/>
      <c r="G1" s="207"/>
      <c r="H1" s="207"/>
      <c r="I1" s="207"/>
      <c r="J1" s="207"/>
      <c r="K1" s="207"/>
      <c r="L1" s="207"/>
      <c r="M1" s="207"/>
      <c r="N1" s="207"/>
      <c r="O1" s="207"/>
    </row>
    <row r="2" spans="1:15" ht="30.75" customHeight="1" x14ac:dyDescent="0.75">
      <c r="A2" s="63" t="s">
        <v>214</v>
      </c>
      <c r="B2" s="64" t="s">
        <v>215</v>
      </c>
      <c r="C2" s="297" t="s">
        <v>216</v>
      </c>
      <c r="D2" s="298"/>
      <c r="E2" s="298"/>
      <c r="F2" s="298"/>
      <c r="G2" s="299"/>
      <c r="H2" s="302" t="s">
        <v>217</v>
      </c>
      <c r="I2" s="298"/>
      <c r="J2" s="299"/>
      <c r="K2" s="297" t="s">
        <v>218</v>
      </c>
      <c r="L2" s="298"/>
      <c r="M2" s="298"/>
      <c r="N2" s="298"/>
      <c r="O2" s="299"/>
    </row>
    <row r="3" spans="1:15" ht="14.25" customHeight="1" x14ac:dyDescent="0.75">
      <c r="A3" s="240" t="s">
        <v>54</v>
      </c>
      <c r="B3" s="258"/>
      <c r="C3" s="254" t="s">
        <v>219</v>
      </c>
      <c r="D3" s="240" t="s">
        <v>220</v>
      </c>
      <c r="E3" s="210"/>
      <c r="F3" s="210"/>
      <c r="G3" s="211"/>
      <c r="H3" s="254" t="s">
        <v>38</v>
      </c>
      <c r="I3" s="254" t="s">
        <v>221</v>
      </c>
      <c r="J3" s="254" t="s">
        <v>222</v>
      </c>
      <c r="K3" s="241" t="s">
        <v>297</v>
      </c>
      <c r="L3" s="242"/>
      <c r="M3" s="242"/>
      <c r="N3" s="242"/>
      <c r="O3" s="243"/>
    </row>
    <row r="4" spans="1:15" ht="22.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57"/>
      <c r="D5" s="57"/>
      <c r="E5" s="57"/>
      <c r="F5" s="57"/>
      <c r="G5" s="57"/>
      <c r="H5" s="262" t="s">
        <v>298</v>
      </c>
      <c r="I5" s="241" t="s">
        <v>299</v>
      </c>
      <c r="J5" s="241" t="s">
        <v>46</v>
      </c>
      <c r="K5" s="244"/>
      <c r="L5" s="207"/>
      <c r="M5" s="207"/>
      <c r="N5" s="207"/>
      <c r="O5" s="245"/>
    </row>
    <row r="6" spans="1:15" ht="15" customHeight="1" x14ac:dyDescent="0.75">
      <c r="A6" s="224"/>
      <c r="B6" s="130" t="s">
        <v>227</v>
      </c>
      <c r="C6" s="57"/>
      <c r="D6" s="57"/>
      <c r="E6" s="57"/>
      <c r="F6" s="57"/>
      <c r="G6" s="57"/>
      <c r="H6" s="224"/>
      <c r="I6" s="224"/>
      <c r="J6" s="224"/>
      <c r="K6" s="244"/>
      <c r="L6" s="207"/>
      <c r="M6" s="207"/>
      <c r="N6" s="207"/>
      <c r="O6" s="245"/>
    </row>
    <row r="7" spans="1:15" ht="15" customHeight="1" x14ac:dyDescent="0.75">
      <c r="A7" s="224"/>
      <c r="B7" s="130" t="s">
        <v>228</v>
      </c>
      <c r="C7" s="58"/>
      <c r="D7" s="58"/>
      <c r="E7" s="58"/>
      <c r="F7" s="58"/>
      <c r="G7" s="58"/>
      <c r="H7" s="224"/>
      <c r="I7" s="224"/>
      <c r="J7" s="224"/>
      <c r="K7" s="244"/>
      <c r="L7" s="207"/>
      <c r="M7" s="207"/>
      <c r="N7" s="207"/>
      <c r="O7" s="245"/>
    </row>
    <row r="8" spans="1:15" ht="15" customHeight="1" x14ac:dyDescent="0.75">
      <c r="A8" s="224"/>
      <c r="B8" s="130" t="s">
        <v>229</v>
      </c>
      <c r="C8" s="58"/>
      <c r="D8" s="58"/>
      <c r="E8" s="58"/>
      <c r="F8" s="58"/>
      <c r="G8" s="58"/>
      <c r="H8" s="224"/>
      <c r="I8" s="224"/>
      <c r="J8" s="224"/>
      <c r="K8" s="244"/>
      <c r="L8" s="207"/>
      <c r="M8" s="207"/>
      <c r="N8" s="207"/>
      <c r="O8" s="245"/>
    </row>
    <row r="9" spans="1:15" ht="15" customHeight="1" x14ac:dyDescent="0.75">
      <c r="A9" s="213"/>
      <c r="B9" s="59" t="s">
        <v>230</v>
      </c>
      <c r="C9" s="60"/>
      <c r="D9" s="60">
        <v>30</v>
      </c>
      <c r="E9" s="60">
        <v>60</v>
      </c>
      <c r="F9" s="60">
        <v>80</v>
      </c>
      <c r="G9" s="60">
        <v>100</v>
      </c>
      <c r="H9" s="213"/>
      <c r="I9" s="213"/>
      <c r="J9" s="213"/>
      <c r="K9" s="246"/>
      <c r="L9" s="216"/>
      <c r="M9" s="216"/>
      <c r="N9" s="216"/>
      <c r="O9" s="247"/>
    </row>
    <row r="10" spans="1:15" ht="15.75" customHeight="1" x14ac:dyDescent="0.75">
      <c r="A10" s="296" t="s">
        <v>231</v>
      </c>
      <c r="B10" s="207"/>
      <c r="C10" s="207"/>
      <c r="D10" s="207"/>
      <c r="E10" s="207"/>
      <c r="F10" s="207"/>
      <c r="G10" s="207"/>
      <c r="H10" s="292" t="s">
        <v>5</v>
      </c>
      <c r="I10" s="207"/>
      <c r="J10" s="207"/>
      <c r="K10" s="207"/>
      <c r="L10" s="207"/>
      <c r="M10" s="207"/>
      <c r="N10" s="207"/>
      <c r="O10" s="293"/>
    </row>
    <row r="11" spans="1:15" ht="39" customHeight="1" x14ac:dyDescent="0.75">
      <c r="A11" s="301" t="s">
        <v>232</v>
      </c>
      <c r="B11" s="242"/>
      <c r="C11" s="243"/>
      <c r="D11" s="300" t="s">
        <v>54</v>
      </c>
      <c r="E11" s="242"/>
      <c r="F11" s="242"/>
      <c r="G11" s="242"/>
      <c r="H11" s="294" t="s">
        <v>300</v>
      </c>
      <c r="I11" s="242"/>
      <c r="J11" s="242"/>
      <c r="K11" s="242"/>
      <c r="L11" s="242"/>
      <c r="M11" s="242"/>
      <c r="N11" s="242"/>
      <c r="O11" s="295"/>
    </row>
    <row r="12" spans="1:15" ht="14.25" customHeight="1" x14ac:dyDescent="0.75">
      <c r="A12" s="268" t="s">
        <v>301</v>
      </c>
      <c r="B12" s="242"/>
      <c r="C12" s="242"/>
      <c r="D12" s="242"/>
      <c r="E12" s="242"/>
      <c r="F12" s="242"/>
      <c r="G12" s="243"/>
      <c r="H12" s="240" t="s">
        <v>235</v>
      </c>
      <c r="I12" s="210"/>
      <c r="J12" s="210"/>
      <c r="K12" s="210"/>
      <c r="L12" s="210"/>
      <c r="M12" s="210"/>
      <c r="N12" s="210"/>
      <c r="O12" s="211"/>
    </row>
    <row r="13" spans="1:15" ht="15" customHeight="1" x14ac:dyDescent="0.75">
      <c r="A13" s="249" t="s">
        <v>317</v>
      </c>
      <c r="B13" s="207"/>
      <c r="C13" s="207"/>
      <c r="D13" s="207"/>
      <c r="E13" s="207"/>
      <c r="F13" s="207"/>
      <c r="G13" s="245"/>
      <c r="H13" s="240" t="s">
        <v>236</v>
      </c>
      <c r="I13" s="211"/>
      <c r="J13" s="240" t="s">
        <v>237</v>
      </c>
      <c r="K13" s="211"/>
      <c r="L13" s="129" t="s">
        <v>238</v>
      </c>
      <c r="M13" s="240" t="s">
        <v>272</v>
      </c>
      <c r="N13" s="210"/>
      <c r="O13" s="211"/>
    </row>
    <row r="14" spans="1:15" ht="15.75" customHeight="1" x14ac:dyDescent="0.75">
      <c r="A14" s="244"/>
      <c r="B14" s="207"/>
      <c r="C14" s="207"/>
      <c r="D14" s="207"/>
      <c r="E14" s="207"/>
      <c r="F14" s="207"/>
      <c r="G14" s="245"/>
      <c r="H14" s="252" t="s">
        <v>240</v>
      </c>
      <c r="I14" s="211"/>
      <c r="J14" s="241"/>
      <c r="K14" s="211"/>
      <c r="L14" s="149" t="str">
        <f>IFERROR(J14/M14,"")</f>
        <v/>
      </c>
      <c r="M14" s="252">
        <v>0</v>
      </c>
      <c r="N14" s="210"/>
      <c r="O14" s="211"/>
    </row>
    <row r="15" spans="1:15" ht="15.75" customHeight="1" x14ac:dyDescent="0.75">
      <c r="A15" s="244"/>
      <c r="B15" s="207"/>
      <c r="C15" s="207"/>
      <c r="D15" s="207"/>
      <c r="E15" s="207"/>
      <c r="F15" s="207"/>
      <c r="G15" s="245"/>
      <c r="H15" s="252">
        <v>2024</v>
      </c>
      <c r="I15" s="211"/>
      <c r="J15" s="252"/>
      <c r="K15" s="211"/>
      <c r="L15" s="149">
        <f>IFERROR(J15/M15,"")</f>
        <v>0</v>
      </c>
      <c r="M15" s="252">
        <v>30</v>
      </c>
      <c r="N15" s="210"/>
      <c r="O15" s="211"/>
    </row>
    <row r="16" spans="1:15" ht="15.75" customHeight="1" x14ac:dyDescent="0.75">
      <c r="A16" s="244"/>
      <c r="B16" s="207"/>
      <c r="C16" s="207"/>
      <c r="D16" s="207"/>
      <c r="E16" s="207"/>
      <c r="F16" s="207"/>
      <c r="G16" s="245"/>
      <c r="H16" s="252">
        <v>2025</v>
      </c>
      <c r="I16" s="211"/>
      <c r="J16" s="252"/>
      <c r="K16" s="211"/>
      <c r="L16" s="149">
        <f>IFERROR(J16/M16,"")</f>
        <v>0</v>
      </c>
      <c r="M16" s="252">
        <v>60</v>
      </c>
      <c r="N16" s="210"/>
      <c r="O16" s="211"/>
    </row>
    <row r="17" spans="1:15" ht="15.75" customHeight="1" x14ac:dyDescent="0.75">
      <c r="A17" s="244"/>
      <c r="B17" s="207"/>
      <c r="C17" s="207"/>
      <c r="D17" s="207"/>
      <c r="E17" s="207"/>
      <c r="F17" s="207"/>
      <c r="G17" s="245"/>
      <c r="H17" s="252">
        <v>2026</v>
      </c>
      <c r="I17" s="211"/>
      <c r="J17" s="252"/>
      <c r="K17" s="211"/>
      <c r="L17" s="149">
        <f>IFERROR(J17/M17,"")</f>
        <v>0</v>
      </c>
      <c r="M17" s="252">
        <v>80</v>
      </c>
      <c r="N17" s="210"/>
      <c r="O17" s="211"/>
    </row>
    <row r="18" spans="1:15" ht="15.75" customHeight="1" x14ac:dyDescent="0.75">
      <c r="A18" s="246"/>
      <c r="B18" s="216"/>
      <c r="C18" s="216"/>
      <c r="D18" s="216"/>
      <c r="E18" s="216"/>
      <c r="F18" s="216"/>
      <c r="G18" s="247"/>
      <c r="H18" s="252">
        <v>2027</v>
      </c>
      <c r="I18" s="211"/>
      <c r="J18" s="252"/>
      <c r="K18" s="211"/>
      <c r="L18" s="149">
        <f>IFERROR(J18/M18,"")</f>
        <v>0</v>
      </c>
      <c r="M18" s="252">
        <v>100</v>
      </c>
      <c r="N18" s="210"/>
      <c r="O18" s="211"/>
    </row>
    <row r="19" spans="1:15" ht="40" customHeight="1" x14ac:dyDescent="0.75">
      <c r="A19" s="54" t="s">
        <v>302</v>
      </c>
      <c r="B19" s="256" t="s">
        <v>273</v>
      </c>
      <c r="C19" s="210"/>
      <c r="D19" s="210"/>
      <c r="E19" s="210"/>
      <c r="F19" s="210"/>
      <c r="G19" s="210"/>
      <c r="H19" s="210"/>
      <c r="I19" s="210"/>
      <c r="J19" s="210"/>
      <c r="K19" s="210"/>
      <c r="L19" s="210"/>
      <c r="M19" s="210"/>
      <c r="N19" s="210"/>
      <c r="O19" s="211"/>
    </row>
    <row r="20" spans="1:15" ht="40" customHeight="1" x14ac:dyDescent="0.75">
      <c r="A20" s="54" t="s">
        <v>242</v>
      </c>
      <c r="B20" s="256" t="s">
        <v>303</v>
      </c>
      <c r="C20" s="210"/>
      <c r="D20" s="210"/>
      <c r="E20" s="210"/>
      <c r="F20" s="210"/>
      <c r="G20" s="210"/>
      <c r="H20" s="210"/>
      <c r="I20" s="210"/>
      <c r="J20" s="210"/>
      <c r="K20" s="210"/>
      <c r="L20" s="210"/>
      <c r="M20" s="210"/>
      <c r="N20" s="210"/>
      <c r="O20" s="211"/>
    </row>
    <row r="21" spans="1:15" ht="40" customHeight="1" x14ac:dyDescent="0.75">
      <c r="A21" s="54" t="s">
        <v>243</v>
      </c>
      <c r="B21" s="256" t="s">
        <v>304</v>
      </c>
      <c r="C21" s="210"/>
      <c r="D21" s="210"/>
      <c r="E21" s="210"/>
      <c r="F21" s="210"/>
      <c r="G21" s="210"/>
      <c r="H21" s="210"/>
      <c r="I21" s="210"/>
      <c r="J21" s="210"/>
      <c r="K21" s="210"/>
      <c r="L21" s="210"/>
      <c r="M21" s="210"/>
      <c r="N21" s="210"/>
      <c r="O21" s="211"/>
    </row>
    <row r="22" spans="1:15" ht="40" customHeight="1" x14ac:dyDescent="0.75">
      <c r="A22" s="54" t="s">
        <v>276</v>
      </c>
      <c r="B22" s="256" t="s">
        <v>305</v>
      </c>
      <c r="C22" s="210"/>
      <c r="D22" s="210"/>
      <c r="E22" s="210"/>
      <c r="F22" s="210"/>
      <c r="G22" s="210"/>
      <c r="H22" s="210"/>
      <c r="I22" s="210"/>
      <c r="J22" s="210"/>
      <c r="K22" s="210"/>
      <c r="L22" s="210"/>
      <c r="M22" s="210"/>
      <c r="N22" s="210"/>
      <c r="O22" s="211"/>
    </row>
    <row r="23" spans="1:15" ht="28" customHeight="1" x14ac:dyDescent="0.75">
      <c r="A23" s="54" t="s">
        <v>278</v>
      </c>
      <c r="B23" s="267" t="s">
        <v>293</v>
      </c>
      <c r="C23" s="210"/>
      <c r="D23" s="210"/>
      <c r="E23" s="210"/>
      <c r="F23" s="210"/>
      <c r="G23" s="210"/>
      <c r="H23" s="210"/>
      <c r="I23" s="210"/>
      <c r="J23" s="210"/>
      <c r="K23" s="210"/>
      <c r="L23" s="210"/>
      <c r="M23" s="210"/>
      <c r="N23" s="210"/>
      <c r="O23" s="211"/>
    </row>
    <row r="24" spans="1:15" ht="40" customHeight="1" x14ac:dyDescent="0.75">
      <c r="A24" s="56" t="s">
        <v>306</v>
      </c>
      <c r="B24" s="303" t="s">
        <v>307</v>
      </c>
      <c r="C24" s="210"/>
      <c r="D24" s="210"/>
      <c r="E24" s="210"/>
      <c r="F24" s="210"/>
      <c r="G24" s="210"/>
      <c r="H24" s="210"/>
      <c r="I24" s="210"/>
      <c r="J24" s="210"/>
      <c r="K24" s="210"/>
      <c r="L24" s="210"/>
      <c r="M24" s="210"/>
      <c r="N24" s="210"/>
      <c r="O24" s="211"/>
    </row>
    <row r="25" spans="1:15" ht="28" customHeight="1" x14ac:dyDescent="0.75">
      <c r="A25" s="56" t="s">
        <v>251</v>
      </c>
      <c r="B25" s="305" t="s">
        <v>308</v>
      </c>
      <c r="C25" s="210"/>
      <c r="D25" s="210"/>
      <c r="E25" s="210"/>
      <c r="F25" s="210"/>
      <c r="G25" s="210"/>
      <c r="H25" s="210"/>
      <c r="I25" s="210"/>
      <c r="J25" s="210"/>
      <c r="K25" s="210"/>
      <c r="L25" s="210"/>
      <c r="M25" s="210"/>
      <c r="N25" s="210"/>
      <c r="O25" s="211"/>
    </row>
    <row r="26" spans="1:15" ht="40" customHeight="1" x14ac:dyDescent="0.75">
      <c r="A26" s="54" t="s">
        <v>253</v>
      </c>
      <c r="B26" s="304" t="s">
        <v>309</v>
      </c>
      <c r="C26" s="210"/>
      <c r="D26" s="210"/>
      <c r="E26" s="210"/>
      <c r="F26" s="210"/>
      <c r="G26" s="210"/>
      <c r="H26" s="210"/>
      <c r="I26" s="210"/>
      <c r="J26" s="210"/>
      <c r="K26" s="210"/>
      <c r="L26" s="210"/>
      <c r="M26" s="210"/>
      <c r="N26" s="210"/>
      <c r="O26" s="211"/>
    </row>
    <row r="27" spans="1:15" ht="28" customHeight="1" x14ac:dyDescent="0.75">
      <c r="A27" s="54" t="s">
        <v>310</v>
      </c>
      <c r="B27" s="271" t="s">
        <v>284</v>
      </c>
      <c r="C27" s="210"/>
      <c r="D27" s="210"/>
      <c r="E27" s="210"/>
      <c r="F27" s="210"/>
      <c r="G27" s="210"/>
      <c r="H27" s="210"/>
      <c r="I27" s="210"/>
      <c r="J27" s="210"/>
      <c r="K27" s="210"/>
      <c r="L27" s="210"/>
      <c r="M27" s="210"/>
      <c r="N27" s="210"/>
      <c r="O27" s="211"/>
    </row>
    <row r="28" spans="1:15" ht="40" customHeight="1" x14ac:dyDescent="0.75">
      <c r="A28" s="54" t="s">
        <v>257</v>
      </c>
      <c r="B28" s="274" t="s">
        <v>547</v>
      </c>
      <c r="C28" s="275"/>
      <c r="D28" s="275"/>
      <c r="E28" s="275"/>
      <c r="F28" s="275"/>
      <c r="G28" s="275"/>
      <c r="H28" s="275"/>
      <c r="I28" s="275"/>
      <c r="J28" s="275"/>
      <c r="K28" s="275"/>
      <c r="L28" s="275"/>
      <c r="M28" s="275"/>
      <c r="N28" s="275"/>
      <c r="O28" s="276"/>
    </row>
    <row r="29" spans="1:15" ht="28" customHeight="1" x14ac:dyDescent="0.75">
      <c r="A29" s="54" t="s">
        <v>258</v>
      </c>
      <c r="B29" s="273" t="s">
        <v>268</v>
      </c>
      <c r="C29" s="210"/>
      <c r="D29" s="210"/>
      <c r="E29" s="210"/>
      <c r="F29" s="210"/>
      <c r="G29" s="210"/>
      <c r="H29" s="210"/>
      <c r="I29" s="210"/>
      <c r="J29" s="210"/>
      <c r="K29" s="210"/>
      <c r="L29" s="210"/>
      <c r="M29" s="210"/>
      <c r="N29" s="210"/>
      <c r="O29" s="211"/>
    </row>
    <row r="30" spans="1:15" ht="28" customHeight="1" x14ac:dyDescent="0.75">
      <c r="A30" s="54" t="s">
        <v>259</v>
      </c>
      <c r="B30" s="270" t="s">
        <v>548</v>
      </c>
      <c r="C30" s="210"/>
      <c r="D30" s="210"/>
      <c r="E30" s="210"/>
      <c r="F30" s="210"/>
      <c r="G30" s="210"/>
      <c r="H30" s="210"/>
      <c r="I30" s="210"/>
      <c r="J30" s="210"/>
      <c r="K30" s="210"/>
      <c r="L30" s="210"/>
      <c r="M30" s="210"/>
      <c r="N30" s="210"/>
      <c r="O30" s="211"/>
    </row>
    <row r="31" spans="1:15" ht="28" customHeight="1" x14ac:dyDescent="0.75">
      <c r="A31" s="54" t="s">
        <v>261</v>
      </c>
      <c r="B31" s="270" t="s">
        <v>543</v>
      </c>
      <c r="C31" s="210"/>
      <c r="D31" s="210"/>
      <c r="E31" s="210"/>
      <c r="F31" s="210"/>
      <c r="G31" s="210"/>
      <c r="H31" s="210"/>
      <c r="I31" s="210"/>
      <c r="J31" s="210"/>
      <c r="K31" s="210"/>
      <c r="L31" s="210"/>
      <c r="M31" s="210"/>
      <c r="N31" s="210"/>
      <c r="O31" s="211"/>
    </row>
    <row r="32" spans="1:15" ht="82" customHeight="1" x14ac:dyDescent="0.75">
      <c r="A32" s="55" t="s">
        <v>314</v>
      </c>
      <c r="B32" s="271" t="s">
        <v>315</v>
      </c>
      <c r="C32" s="210"/>
      <c r="D32" s="210"/>
      <c r="E32" s="210"/>
      <c r="F32" s="210"/>
      <c r="G32" s="210"/>
      <c r="H32" s="210"/>
      <c r="I32" s="210"/>
      <c r="J32" s="210"/>
      <c r="K32" s="210"/>
      <c r="L32" s="210"/>
      <c r="M32" s="210"/>
      <c r="N32" s="210"/>
      <c r="O32" s="211"/>
    </row>
  </sheetData>
  <mergeCells count="54">
    <mergeCell ref="B32:O32"/>
    <mergeCell ref="J17:K17"/>
    <mergeCell ref="B30:O30"/>
    <mergeCell ref="B24:O24"/>
    <mergeCell ref="H18:I18"/>
    <mergeCell ref="B29:O29"/>
    <mergeCell ref="B28:O28"/>
    <mergeCell ref="B26:O26"/>
    <mergeCell ref="B25:O25"/>
    <mergeCell ref="A1:O1"/>
    <mergeCell ref="J18:K18"/>
    <mergeCell ref="B20:O20"/>
    <mergeCell ref="H14:I14"/>
    <mergeCell ref="C2:G2"/>
    <mergeCell ref="K2:O2"/>
    <mergeCell ref="H3:H4"/>
    <mergeCell ref="H5:H9"/>
    <mergeCell ref="J3:J4"/>
    <mergeCell ref="B19:O19"/>
    <mergeCell ref="D11:G11"/>
    <mergeCell ref="H13:I13"/>
    <mergeCell ref="H12:O12"/>
    <mergeCell ref="A11:C11"/>
    <mergeCell ref="C3:C4"/>
    <mergeCell ref="H2:J2"/>
    <mergeCell ref="B31:O31"/>
    <mergeCell ref="J13:K13"/>
    <mergeCell ref="B22:O22"/>
    <mergeCell ref="A10:G10"/>
    <mergeCell ref="M15:O15"/>
    <mergeCell ref="B27:O27"/>
    <mergeCell ref="B21:O21"/>
    <mergeCell ref="M18:O18"/>
    <mergeCell ref="J15:K15"/>
    <mergeCell ref="B23:O23"/>
    <mergeCell ref="H17:I17"/>
    <mergeCell ref="M14:O14"/>
    <mergeCell ref="D3:G3"/>
    <mergeCell ref="I5:I9"/>
    <mergeCell ref="M16:O16"/>
    <mergeCell ref="A3:A9"/>
    <mergeCell ref="B3:B4"/>
    <mergeCell ref="J14:K14"/>
    <mergeCell ref="K3:O9"/>
    <mergeCell ref="A12:G18"/>
    <mergeCell ref="M13:O13"/>
    <mergeCell ref="H10:O10"/>
    <mergeCell ref="J5:J9"/>
    <mergeCell ref="H16:I16"/>
    <mergeCell ref="H11:O11"/>
    <mergeCell ref="J16:K16"/>
    <mergeCell ref="H15:I15"/>
    <mergeCell ref="I3:I4"/>
    <mergeCell ref="M17:O17"/>
  </mergeCells>
  <printOptions horizontalCentered="1"/>
  <pageMargins left="0.7" right="0.7" top="0.75" bottom="0.75" header="0.511811023622047" footer="0.511811023622047"/>
  <pageSetup paperSize="9" scale="50"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2"/>
  <sheetViews>
    <sheetView topLeftCell="C1" zoomScale="70" zoomScaleNormal="70" workbookViewId="0">
      <selection activeCell="B19" sqref="B19:O19"/>
    </sheetView>
  </sheetViews>
  <sheetFormatPr baseColWidth="10" defaultColWidth="11.453125" defaultRowHeight="14.75" x14ac:dyDescent="0.75"/>
  <cols>
    <col min="1" max="1" width="36.76953125" style="124" customWidth="1"/>
    <col min="2" max="2" width="15.2265625" style="124" customWidth="1"/>
    <col min="3" max="3" width="13" style="124" customWidth="1"/>
    <col min="4" max="4" width="10" style="124" customWidth="1"/>
    <col min="5" max="7" width="13" style="124" customWidth="1"/>
    <col min="8" max="8" width="16.2265625" style="124" customWidth="1"/>
    <col min="14" max="14" width="4.453125" style="124" customWidth="1"/>
  </cols>
  <sheetData>
    <row r="1" spans="1:15" ht="18" customHeight="1" x14ac:dyDescent="0.75">
      <c r="A1" s="272" t="s">
        <v>323</v>
      </c>
      <c r="B1" s="207"/>
      <c r="C1" s="207"/>
      <c r="D1" s="207"/>
      <c r="E1" s="207"/>
      <c r="F1" s="207"/>
      <c r="G1" s="207"/>
      <c r="H1" s="207"/>
      <c r="I1" s="207"/>
      <c r="J1" s="207"/>
      <c r="K1" s="207"/>
      <c r="L1" s="207"/>
      <c r="M1" s="207"/>
      <c r="N1" s="207"/>
      <c r="O1" s="207"/>
    </row>
    <row r="2" spans="1:15" ht="30.75" customHeight="1" x14ac:dyDescent="0.75">
      <c r="A2" s="126" t="s">
        <v>214</v>
      </c>
      <c r="B2" s="126" t="s">
        <v>215</v>
      </c>
      <c r="C2" s="261" t="s">
        <v>216</v>
      </c>
      <c r="D2" s="210"/>
      <c r="E2" s="210"/>
      <c r="F2" s="210"/>
      <c r="G2" s="211"/>
      <c r="H2" s="264" t="s">
        <v>217</v>
      </c>
      <c r="I2" s="210"/>
      <c r="J2" s="211"/>
      <c r="K2" s="261" t="s">
        <v>218</v>
      </c>
      <c r="L2" s="210"/>
      <c r="M2" s="210"/>
      <c r="N2" s="210"/>
      <c r="O2" s="211"/>
    </row>
    <row r="3" spans="1:15" ht="15" customHeight="1" x14ac:dyDescent="0.75">
      <c r="A3" s="240" t="s">
        <v>57</v>
      </c>
      <c r="B3" s="240"/>
      <c r="C3" s="254" t="s">
        <v>219</v>
      </c>
      <c r="D3" s="240" t="s">
        <v>220</v>
      </c>
      <c r="E3" s="210"/>
      <c r="F3" s="210"/>
      <c r="G3" s="211"/>
      <c r="H3" s="254" t="s">
        <v>38</v>
      </c>
      <c r="I3" s="254" t="s">
        <v>221</v>
      </c>
      <c r="J3" s="254" t="s">
        <v>222</v>
      </c>
      <c r="K3" s="241" t="s">
        <v>297</v>
      </c>
      <c r="L3" s="242"/>
      <c r="M3" s="242"/>
      <c r="N3" s="242"/>
      <c r="O3" s="243"/>
    </row>
    <row r="4" spans="1:15" ht="21.75" customHeight="1" x14ac:dyDescent="0.75">
      <c r="A4" s="224"/>
      <c r="B4" s="213"/>
      <c r="C4" s="213"/>
      <c r="D4" s="129">
        <v>2024</v>
      </c>
      <c r="E4" s="129">
        <v>2025</v>
      </c>
      <c r="F4" s="129">
        <v>2026</v>
      </c>
      <c r="G4" s="129">
        <v>2027</v>
      </c>
      <c r="H4" s="213"/>
      <c r="I4" s="213"/>
      <c r="J4" s="213"/>
      <c r="K4" s="244"/>
      <c r="L4" s="207"/>
      <c r="M4" s="207"/>
      <c r="N4" s="207"/>
      <c r="O4" s="245"/>
    </row>
    <row r="5" spans="1:15" ht="15.75" customHeight="1" x14ac:dyDescent="0.75">
      <c r="A5" s="224"/>
      <c r="B5" s="130" t="s">
        <v>224</v>
      </c>
      <c r="C5" s="57"/>
      <c r="D5" s="57"/>
      <c r="E5" s="57"/>
      <c r="F5" s="57"/>
      <c r="G5" s="57"/>
      <c r="H5" s="262" t="s">
        <v>298</v>
      </c>
      <c r="I5" s="241" t="s">
        <v>299</v>
      </c>
      <c r="J5" s="241" t="s">
        <v>46</v>
      </c>
      <c r="K5" s="244"/>
      <c r="L5" s="207"/>
      <c r="M5" s="207"/>
      <c r="N5" s="207"/>
      <c r="O5" s="245"/>
    </row>
    <row r="6" spans="1:15" ht="15.75" customHeight="1" x14ac:dyDescent="0.75">
      <c r="A6" s="224"/>
      <c r="B6" s="130" t="s">
        <v>227</v>
      </c>
      <c r="C6" s="57"/>
      <c r="D6" s="57"/>
      <c r="E6" s="57"/>
      <c r="F6" s="57"/>
      <c r="G6" s="57"/>
      <c r="H6" s="224"/>
      <c r="I6" s="224"/>
      <c r="J6" s="224"/>
      <c r="K6" s="244"/>
      <c r="L6" s="207"/>
      <c r="M6" s="207"/>
      <c r="N6" s="207"/>
      <c r="O6" s="245"/>
    </row>
    <row r="7" spans="1:15" ht="15" customHeight="1" x14ac:dyDescent="0.75">
      <c r="A7" s="224"/>
      <c r="B7" s="130" t="s">
        <v>228</v>
      </c>
      <c r="C7" s="58"/>
      <c r="D7" s="58"/>
      <c r="E7" s="58"/>
      <c r="F7" s="58"/>
      <c r="G7" s="58"/>
      <c r="H7" s="224"/>
      <c r="I7" s="224"/>
      <c r="J7" s="224"/>
      <c r="K7" s="244"/>
      <c r="L7" s="207"/>
      <c r="M7" s="207"/>
      <c r="N7" s="207"/>
      <c r="O7" s="245"/>
    </row>
    <row r="8" spans="1:15" ht="15" customHeight="1" x14ac:dyDescent="0.75">
      <c r="A8" s="224"/>
      <c r="B8" s="130" t="s">
        <v>229</v>
      </c>
      <c r="C8" s="58"/>
      <c r="D8" s="58"/>
      <c r="E8" s="58"/>
      <c r="F8" s="58"/>
      <c r="G8" s="58"/>
      <c r="H8" s="224"/>
      <c r="I8" s="224"/>
      <c r="J8" s="224"/>
      <c r="K8" s="244"/>
      <c r="L8" s="207"/>
      <c r="M8" s="207"/>
      <c r="N8" s="207"/>
      <c r="O8" s="245"/>
    </row>
    <row r="9" spans="1:15" ht="15" customHeight="1" x14ac:dyDescent="0.75">
      <c r="A9" s="213"/>
      <c r="B9" s="59" t="s">
        <v>230</v>
      </c>
      <c r="C9" s="60"/>
      <c r="D9" s="60">
        <v>0</v>
      </c>
      <c r="E9" s="60">
        <v>25</v>
      </c>
      <c r="F9" s="60">
        <v>40</v>
      </c>
      <c r="G9" s="60">
        <v>50</v>
      </c>
      <c r="H9" s="213"/>
      <c r="I9" s="213"/>
      <c r="J9" s="213"/>
      <c r="K9" s="246"/>
      <c r="L9" s="216"/>
      <c r="M9" s="216"/>
      <c r="N9" s="216"/>
      <c r="O9" s="247"/>
    </row>
    <row r="10" spans="1:15" ht="24.75" customHeight="1" x14ac:dyDescent="0.75">
      <c r="A10" s="258" t="s">
        <v>231</v>
      </c>
      <c r="B10" s="210"/>
      <c r="C10" s="210"/>
      <c r="D10" s="210"/>
      <c r="E10" s="210"/>
      <c r="F10" s="210"/>
      <c r="G10" s="211"/>
      <c r="H10" s="251" t="s">
        <v>324</v>
      </c>
      <c r="I10" s="210"/>
      <c r="J10" s="210"/>
      <c r="K10" s="210"/>
      <c r="L10" s="210"/>
      <c r="M10" s="210"/>
      <c r="N10" s="210"/>
      <c r="O10" s="211"/>
    </row>
    <row r="11" spans="1:15" ht="30.75" customHeight="1" x14ac:dyDescent="0.75">
      <c r="A11" s="263" t="s">
        <v>232</v>
      </c>
      <c r="B11" s="210"/>
      <c r="C11" s="211"/>
      <c r="D11" s="240" t="s">
        <v>57</v>
      </c>
      <c r="E11" s="210"/>
      <c r="F11" s="210"/>
      <c r="G11" s="211"/>
      <c r="H11" s="253" t="s">
        <v>318</v>
      </c>
      <c r="I11" s="210"/>
      <c r="J11" s="210"/>
      <c r="K11" s="210"/>
      <c r="L11" s="210"/>
      <c r="M11" s="210"/>
      <c r="N11" s="210"/>
      <c r="O11" s="211"/>
    </row>
    <row r="12" spans="1:15" ht="15" customHeight="1" x14ac:dyDescent="0.75">
      <c r="A12" s="268" t="s">
        <v>319</v>
      </c>
      <c r="B12" s="242"/>
      <c r="C12" s="242"/>
      <c r="D12" s="242"/>
      <c r="E12" s="242"/>
      <c r="F12" s="242"/>
      <c r="G12" s="243"/>
      <c r="H12" s="240" t="s">
        <v>320</v>
      </c>
      <c r="I12" s="210"/>
      <c r="J12" s="210"/>
      <c r="K12" s="210"/>
      <c r="L12" s="210"/>
      <c r="M12" s="210"/>
      <c r="N12" s="210"/>
      <c r="O12" s="211"/>
    </row>
    <row r="13" spans="1:15" ht="15" customHeight="1" x14ac:dyDescent="0.75">
      <c r="A13" s="249" t="s">
        <v>325</v>
      </c>
      <c r="B13" s="207"/>
      <c r="C13" s="207"/>
      <c r="D13" s="207"/>
      <c r="E13" s="207"/>
      <c r="F13" s="207"/>
      <c r="G13" s="245"/>
      <c r="H13" s="240" t="s">
        <v>236</v>
      </c>
      <c r="I13" s="211"/>
      <c r="J13" s="240" t="s">
        <v>237</v>
      </c>
      <c r="K13" s="211"/>
      <c r="L13" s="129" t="s">
        <v>238</v>
      </c>
      <c r="M13" s="240" t="s">
        <v>272</v>
      </c>
      <c r="N13" s="210"/>
      <c r="O13" s="211"/>
    </row>
    <row r="14" spans="1:15" ht="15.75" customHeight="1" x14ac:dyDescent="0.75">
      <c r="A14" s="244"/>
      <c r="B14" s="207"/>
      <c r="C14" s="207"/>
      <c r="D14" s="207"/>
      <c r="E14" s="207"/>
      <c r="F14" s="207"/>
      <c r="G14" s="245"/>
      <c r="H14" s="252" t="s">
        <v>240</v>
      </c>
      <c r="I14" s="211"/>
      <c r="J14" s="241"/>
      <c r="K14" s="211"/>
      <c r="L14" s="149" t="str">
        <f>IFERROR(J14/M14,"")</f>
        <v/>
      </c>
      <c r="M14" s="252">
        <v>0</v>
      </c>
      <c r="N14" s="210"/>
      <c r="O14" s="211"/>
    </row>
    <row r="15" spans="1:15" ht="15.75" customHeight="1" x14ac:dyDescent="0.75">
      <c r="A15" s="244"/>
      <c r="B15" s="207"/>
      <c r="C15" s="207"/>
      <c r="D15" s="207"/>
      <c r="E15" s="207"/>
      <c r="F15" s="207"/>
      <c r="G15" s="245"/>
      <c r="H15" s="252">
        <v>2024</v>
      </c>
      <c r="I15" s="211"/>
      <c r="J15" s="252"/>
      <c r="K15" s="211"/>
      <c r="L15" s="149" t="str">
        <f>IFERROR(J15/M15,"")</f>
        <v/>
      </c>
      <c r="M15" s="252">
        <v>0</v>
      </c>
      <c r="N15" s="210"/>
      <c r="O15" s="211"/>
    </row>
    <row r="16" spans="1:15" ht="15.75" customHeight="1" x14ac:dyDescent="0.75">
      <c r="A16" s="244"/>
      <c r="B16" s="207"/>
      <c r="C16" s="207"/>
      <c r="D16" s="207"/>
      <c r="E16" s="207"/>
      <c r="F16" s="207"/>
      <c r="G16" s="245"/>
      <c r="H16" s="252">
        <v>2025</v>
      </c>
      <c r="I16" s="211"/>
      <c r="J16" s="252"/>
      <c r="K16" s="211"/>
      <c r="L16" s="149">
        <f>IFERROR(J16/M16,"")</f>
        <v>0</v>
      </c>
      <c r="M16" s="252">
        <f>E9</f>
        <v>25</v>
      </c>
      <c r="N16" s="210"/>
      <c r="O16" s="211"/>
    </row>
    <row r="17" spans="1:15" ht="15.75" customHeight="1" x14ac:dyDescent="0.75">
      <c r="A17" s="244"/>
      <c r="B17" s="207"/>
      <c r="C17" s="207"/>
      <c r="D17" s="207"/>
      <c r="E17" s="207"/>
      <c r="F17" s="207"/>
      <c r="G17" s="245"/>
      <c r="H17" s="252">
        <v>2026</v>
      </c>
      <c r="I17" s="211"/>
      <c r="J17" s="252"/>
      <c r="K17" s="211"/>
      <c r="L17" s="149">
        <f>IFERROR(J17/M17,"")</f>
        <v>0</v>
      </c>
      <c r="M17" s="252">
        <f>F9</f>
        <v>40</v>
      </c>
      <c r="N17" s="210"/>
      <c r="O17" s="211"/>
    </row>
    <row r="18" spans="1:15" ht="15.75" customHeight="1" x14ac:dyDescent="0.75">
      <c r="A18" s="246"/>
      <c r="B18" s="216"/>
      <c r="C18" s="216"/>
      <c r="D18" s="216"/>
      <c r="E18" s="216"/>
      <c r="F18" s="216"/>
      <c r="G18" s="247"/>
      <c r="H18" s="252">
        <v>2027</v>
      </c>
      <c r="I18" s="211"/>
      <c r="J18" s="252"/>
      <c r="K18" s="211"/>
      <c r="L18" s="149">
        <f>IFERROR(J18/M18,"")</f>
        <v>0</v>
      </c>
      <c r="M18" s="252">
        <f>G9</f>
        <v>50</v>
      </c>
      <c r="N18" s="210"/>
      <c r="O18" s="211"/>
    </row>
    <row r="19" spans="1:15" ht="40" customHeight="1" x14ac:dyDescent="0.75">
      <c r="A19" s="54" t="s">
        <v>302</v>
      </c>
      <c r="B19" s="256" t="s">
        <v>273</v>
      </c>
      <c r="C19" s="210"/>
      <c r="D19" s="210"/>
      <c r="E19" s="210"/>
      <c r="F19" s="210"/>
      <c r="G19" s="210"/>
      <c r="H19" s="210"/>
      <c r="I19" s="210"/>
      <c r="J19" s="210"/>
      <c r="K19" s="210"/>
      <c r="L19" s="210"/>
      <c r="M19" s="210"/>
      <c r="N19" s="210"/>
      <c r="O19" s="211"/>
    </row>
    <row r="20" spans="1:15" ht="40" customHeight="1" x14ac:dyDescent="0.75">
      <c r="A20" s="54" t="s">
        <v>242</v>
      </c>
      <c r="B20" s="256" t="s">
        <v>321</v>
      </c>
      <c r="C20" s="210"/>
      <c r="D20" s="210"/>
      <c r="E20" s="210"/>
      <c r="F20" s="210"/>
      <c r="G20" s="210"/>
      <c r="H20" s="210"/>
      <c r="I20" s="210"/>
      <c r="J20" s="210"/>
      <c r="K20" s="210"/>
      <c r="L20" s="210"/>
      <c r="M20" s="210"/>
      <c r="N20" s="210"/>
      <c r="O20" s="211"/>
    </row>
    <row r="21" spans="1:15" ht="40" customHeight="1" x14ac:dyDescent="0.75">
      <c r="A21" s="54" t="s">
        <v>243</v>
      </c>
      <c r="B21" s="256" t="s">
        <v>322</v>
      </c>
      <c r="C21" s="210"/>
      <c r="D21" s="210"/>
      <c r="E21" s="210"/>
      <c r="F21" s="210"/>
      <c r="G21" s="210"/>
      <c r="H21" s="210"/>
      <c r="I21" s="210"/>
      <c r="J21" s="210"/>
      <c r="K21" s="210"/>
      <c r="L21" s="210"/>
      <c r="M21" s="210"/>
      <c r="N21" s="210"/>
      <c r="O21" s="211"/>
    </row>
    <row r="22" spans="1:15" ht="40" customHeight="1" x14ac:dyDescent="0.75">
      <c r="A22" s="54" t="s">
        <v>276</v>
      </c>
      <c r="B22" s="256" t="s">
        <v>297</v>
      </c>
      <c r="C22" s="210"/>
      <c r="D22" s="210"/>
      <c r="E22" s="210"/>
      <c r="F22" s="210"/>
      <c r="G22" s="210"/>
      <c r="H22" s="210"/>
      <c r="I22" s="210"/>
      <c r="J22" s="210"/>
      <c r="K22" s="210"/>
      <c r="L22" s="210"/>
      <c r="M22" s="210"/>
      <c r="N22" s="210"/>
      <c r="O22" s="211"/>
    </row>
    <row r="23" spans="1:15" ht="28" customHeight="1" x14ac:dyDescent="0.75">
      <c r="A23" s="54" t="s">
        <v>278</v>
      </c>
      <c r="B23" s="267" t="s">
        <v>293</v>
      </c>
      <c r="C23" s="210"/>
      <c r="D23" s="210"/>
      <c r="E23" s="210"/>
      <c r="F23" s="210"/>
      <c r="G23" s="210"/>
      <c r="H23" s="210"/>
      <c r="I23" s="210"/>
      <c r="J23" s="210"/>
      <c r="K23" s="210"/>
      <c r="L23" s="210"/>
      <c r="M23" s="210"/>
      <c r="N23" s="210"/>
      <c r="O23" s="211"/>
    </row>
    <row r="24" spans="1:15" ht="40" customHeight="1" x14ac:dyDescent="0.75">
      <c r="A24" s="56" t="s">
        <v>306</v>
      </c>
      <c r="B24" s="267"/>
      <c r="C24" s="210"/>
      <c r="D24" s="210"/>
      <c r="E24" s="210"/>
      <c r="F24" s="210"/>
      <c r="G24" s="210"/>
      <c r="H24" s="210"/>
      <c r="I24" s="210"/>
      <c r="J24" s="210"/>
      <c r="K24" s="210"/>
      <c r="L24" s="210"/>
      <c r="M24" s="210"/>
      <c r="N24" s="210"/>
      <c r="O24" s="211"/>
    </row>
    <row r="25" spans="1:15" ht="28" customHeight="1" x14ac:dyDescent="0.75">
      <c r="A25" s="56" t="s">
        <v>251</v>
      </c>
      <c r="B25" s="265" t="s">
        <v>308</v>
      </c>
      <c r="C25" s="210"/>
      <c r="D25" s="210"/>
      <c r="E25" s="210"/>
      <c r="F25" s="210"/>
      <c r="G25" s="210"/>
      <c r="H25" s="210"/>
      <c r="I25" s="210"/>
      <c r="J25" s="210"/>
      <c r="K25" s="210"/>
      <c r="L25" s="210"/>
      <c r="M25" s="210"/>
      <c r="N25" s="210"/>
      <c r="O25" s="211"/>
    </row>
    <row r="26" spans="1:15" ht="40" customHeight="1" x14ac:dyDescent="0.75">
      <c r="A26" s="54" t="s">
        <v>253</v>
      </c>
      <c r="B26" s="152" t="s">
        <v>309</v>
      </c>
      <c r="C26" s="152"/>
      <c r="D26" s="152"/>
      <c r="E26" s="152"/>
      <c r="F26" s="152"/>
      <c r="G26" s="152"/>
      <c r="H26" s="152"/>
      <c r="I26" s="152"/>
      <c r="J26" s="152"/>
      <c r="K26" s="152"/>
      <c r="L26" s="152"/>
      <c r="M26" s="152"/>
      <c r="N26" s="152"/>
      <c r="O26" s="152"/>
    </row>
    <row r="27" spans="1:15" ht="28" customHeight="1" x14ac:dyDescent="0.75">
      <c r="A27" s="54" t="s">
        <v>283</v>
      </c>
      <c r="B27" s="259" t="s">
        <v>311</v>
      </c>
      <c r="C27" s="210"/>
      <c r="D27" s="210"/>
      <c r="E27" s="210"/>
      <c r="F27" s="210"/>
      <c r="G27" s="210"/>
      <c r="H27" s="210"/>
      <c r="I27" s="210"/>
      <c r="J27" s="210"/>
      <c r="K27" s="210"/>
      <c r="L27" s="210"/>
      <c r="M27" s="210"/>
      <c r="N27" s="210"/>
      <c r="O27" s="211"/>
    </row>
    <row r="28" spans="1:15" ht="40" customHeight="1" x14ac:dyDescent="0.75">
      <c r="A28" s="54" t="s">
        <v>257</v>
      </c>
      <c r="B28" s="256" t="s">
        <v>312</v>
      </c>
      <c r="C28" s="210"/>
      <c r="D28" s="210"/>
      <c r="E28" s="210"/>
      <c r="F28" s="210"/>
      <c r="G28" s="210"/>
      <c r="H28" s="210"/>
      <c r="I28" s="210"/>
      <c r="J28" s="210"/>
      <c r="K28" s="210"/>
      <c r="L28" s="210"/>
      <c r="M28" s="210"/>
      <c r="N28" s="210"/>
      <c r="O28" s="211"/>
    </row>
    <row r="29" spans="1:15" ht="28" customHeight="1" x14ac:dyDescent="0.75">
      <c r="A29" s="54" t="s">
        <v>258</v>
      </c>
      <c r="B29" s="259" t="s">
        <v>298</v>
      </c>
      <c r="C29" s="210"/>
      <c r="D29" s="210"/>
      <c r="E29" s="210"/>
      <c r="F29" s="210"/>
      <c r="G29" s="210"/>
      <c r="H29" s="210"/>
      <c r="I29" s="210"/>
      <c r="J29" s="210"/>
      <c r="K29" s="210"/>
      <c r="L29" s="210"/>
      <c r="M29" s="210"/>
      <c r="N29" s="210"/>
      <c r="O29" s="211"/>
    </row>
    <row r="30" spans="1:15" ht="28" customHeight="1" x14ac:dyDescent="0.75">
      <c r="A30" s="54" t="s">
        <v>259</v>
      </c>
      <c r="B30" s="256" t="s">
        <v>260</v>
      </c>
      <c r="C30" s="210"/>
      <c r="D30" s="210"/>
      <c r="E30" s="210"/>
      <c r="F30" s="210"/>
      <c r="G30" s="210"/>
      <c r="H30" s="210"/>
      <c r="I30" s="210"/>
      <c r="J30" s="210"/>
      <c r="K30" s="210"/>
      <c r="L30" s="210"/>
      <c r="M30" s="210"/>
      <c r="N30" s="210"/>
      <c r="O30" s="211"/>
    </row>
    <row r="31" spans="1:15" ht="28" customHeight="1" x14ac:dyDescent="0.75">
      <c r="A31" s="54" t="s">
        <v>261</v>
      </c>
      <c r="B31" s="259" t="s">
        <v>313</v>
      </c>
      <c r="C31" s="210"/>
      <c r="D31" s="210"/>
      <c r="E31" s="210"/>
      <c r="F31" s="210"/>
      <c r="G31" s="210"/>
      <c r="H31" s="210"/>
      <c r="I31" s="210"/>
      <c r="J31" s="210"/>
      <c r="K31" s="210"/>
      <c r="L31" s="210"/>
      <c r="M31" s="210"/>
      <c r="N31" s="210"/>
      <c r="O31" s="211"/>
    </row>
    <row r="32" spans="1:15" ht="54" customHeight="1" x14ac:dyDescent="0.75">
      <c r="A32" s="54" t="s">
        <v>285</v>
      </c>
      <c r="B32" s="271" t="s">
        <v>315</v>
      </c>
      <c r="C32" s="210"/>
      <c r="D32" s="210"/>
      <c r="E32" s="210"/>
      <c r="F32" s="210"/>
      <c r="G32" s="210"/>
      <c r="H32" s="210"/>
      <c r="I32" s="210"/>
      <c r="J32" s="210"/>
      <c r="K32" s="210"/>
      <c r="L32" s="210"/>
      <c r="M32" s="210"/>
      <c r="N32" s="210"/>
      <c r="O32" s="211"/>
    </row>
  </sheetData>
  <mergeCells count="53">
    <mergeCell ref="B32:O32"/>
    <mergeCell ref="J17:K17"/>
    <mergeCell ref="B30:O30"/>
    <mergeCell ref="B24:O24"/>
    <mergeCell ref="H18:I18"/>
    <mergeCell ref="B29:O29"/>
    <mergeCell ref="B28:O28"/>
    <mergeCell ref="A1:O1"/>
    <mergeCell ref="J18:K18"/>
    <mergeCell ref="B20:O20"/>
    <mergeCell ref="H14:I14"/>
    <mergeCell ref="C2:G2"/>
    <mergeCell ref="J16:K16"/>
    <mergeCell ref="K2:O2"/>
    <mergeCell ref="H3:H4"/>
    <mergeCell ref="H5:H9"/>
    <mergeCell ref="J3:J4"/>
    <mergeCell ref="B19:O19"/>
    <mergeCell ref="D11:G11"/>
    <mergeCell ref="H13:I13"/>
    <mergeCell ref="H12:O12"/>
    <mergeCell ref="A11:C11"/>
    <mergeCell ref="H2:J2"/>
    <mergeCell ref="B31:O31"/>
    <mergeCell ref="J13:K13"/>
    <mergeCell ref="B22:O22"/>
    <mergeCell ref="A10:G10"/>
    <mergeCell ref="M15:O15"/>
    <mergeCell ref="B27:O27"/>
    <mergeCell ref="B21:O21"/>
    <mergeCell ref="M18:O18"/>
    <mergeCell ref="J15:K15"/>
    <mergeCell ref="B25:O25"/>
    <mergeCell ref="B23:O23"/>
    <mergeCell ref="H17:I17"/>
    <mergeCell ref="H15:I15"/>
    <mergeCell ref="M13:O13"/>
    <mergeCell ref="H10:O10"/>
    <mergeCell ref="H16:I16"/>
    <mergeCell ref="H11:O11"/>
    <mergeCell ref="M14:O14"/>
    <mergeCell ref="M16:O16"/>
    <mergeCell ref="A3:A9"/>
    <mergeCell ref="J14:K14"/>
    <mergeCell ref="B3:B4"/>
    <mergeCell ref="K3:O9"/>
    <mergeCell ref="A12:G18"/>
    <mergeCell ref="C3:C4"/>
    <mergeCell ref="I3:I4"/>
    <mergeCell ref="M17:O17"/>
    <mergeCell ref="J5:J9"/>
    <mergeCell ref="D3:G3"/>
    <mergeCell ref="I5:I9"/>
  </mergeCells>
  <printOptions horizontalCentered="1"/>
  <pageMargins left="0.7" right="0.7" top="0.75" bottom="0.75" header="0.511811023622047" footer="0.511811023622047"/>
  <pageSetup paperSize="9" scale="50"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2"/>
  <sheetViews>
    <sheetView topLeftCell="A18" zoomScale="70" zoomScaleNormal="70" workbookViewId="0">
      <selection activeCell="B27" sqref="B27:O27"/>
    </sheetView>
  </sheetViews>
  <sheetFormatPr baseColWidth="10" defaultColWidth="11.453125" defaultRowHeight="14.75" x14ac:dyDescent="0.75"/>
  <cols>
    <col min="1" max="1" width="32" style="124" customWidth="1"/>
    <col min="2" max="2" width="15.2265625" style="124" customWidth="1"/>
    <col min="3" max="3" width="13" style="124" customWidth="1"/>
    <col min="4" max="4" width="10" style="124" customWidth="1"/>
    <col min="5" max="7" width="13" style="124" customWidth="1"/>
    <col min="8" max="8" width="16.2265625" style="124" customWidth="1"/>
    <col min="11" max="11" width="6.76953125" style="124" customWidth="1"/>
  </cols>
  <sheetData>
    <row r="1" spans="1:15" ht="18" customHeight="1" x14ac:dyDescent="0.75">
      <c r="A1" s="272" t="s">
        <v>337</v>
      </c>
      <c r="B1" s="207"/>
      <c r="C1" s="207"/>
      <c r="D1" s="207"/>
      <c r="E1" s="207"/>
      <c r="F1" s="207"/>
      <c r="G1" s="207"/>
      <c r="H1" s="207"/>
      <c r="I1" s="207"/>
      <c r="J1" s="207"/>
      <c r="K1" s="207"/>
      <c r="L1" s="207"/>
      <c r="M1" s="207"/>
      <c r="N1" s="207"/>
      <c r="O1" s="207"/>
    </row>
    <row r="2" spans="1:15" ht="30.75" customHeight="1" x14ac:dyDescent="0.75">
      <c r="A2" s="126" t="s">
        <v>214</v>
      </c>
      <c r="B2" s="126" t="s">
        <v>215</v>
      </c>
      <c r="C2" s="261" t="s">
        <v>216</v>
      </c>
      <c r="D2" s="210"/>
      <c r="E2" s="210"/>
      <c r="F2" s="210"/>
      <c r="G2" s="211"/>
      <c r="H2" s="264" t="s">
        <v>217</v>
      </c>
      <c r="I2" s="210"/>
      <c r="J2" s="211"/>
      <c r="K2" s="261" t="s">
        <v>218</v>
      </c>
      <c r="L2" s="210"/>
      <c r="M2" s="210"/>
      <c r="N2" s="210"/>
      <c r="O2" s="211"/>
    </row>
    <row r="3" spans="1:15" ht="15" customHeight="1" x14ac:dyDescent="0.75">
      <c r="A3" s="240" t="s">
        <v>59</v>
      </c>
      <c r="B3" s="240"/>
      <c r="C3" s="254" t="s">
        <v>219</v>
      </c>
      <c r="D3" s="240" t="s">
        <v>220</v>
      </c>
      <c r="E3" s="210"/>
      <c r="F3" s="210"/>
      <c r="G3" s="211"/>
      <c r="H3" s="254" t="s">
        <v>38</v>
      </c>
      <c r="I3" s="254" t="s">
        <v>221</v>
      </c>
      <c r="J3" s="254" t="s">
        <v>222</v>
      </c>
      <c r="K3" s="250" t="s">
        <v>326</v>
      </c>
      <c r="L3" s="242"/>
      <c r="M3" s="242"/>
      <c r="N3" s="242"/>
      <c r="O3" s="243"/>
    </row>
    <row r="4" spans="1:15" ht="21.75" customHeight="1" x14ac:dyDescent="0.75">
      <c r="A4" s="224"/>
      <c r="B4" s="213"/>
      <c r="C4" s="213"/>
      <c r="D4" s="129">
        <v>2024</v>
      </c>
      <c r="E4" s="129">
        <v>2025</v>
      </c>
      <c r="F4" s="129">
        <v>2026</v>
      </c>
      <c r="G4" s="129">
        <v>2027</v>
      </c>
      <c r="H4" s="213"/>
      <c r="I4" s="213"/>
      <c r="J4" s="213"/>
      <c r="K4" s="244"/>
      <c r="L4" s="207"/>
      <c r="M4" s="207"/>
      <c r="N4" s="207"/>
      <c r="O4" s="245"/>
    </row>
    <row r="5" spans="1:15" ht="15.75" customHeight="1" x14ac:dyDescent="0.75">
      <c r="A5" s="224"/>
      <c r="B5" s="130" t="s">
        <v>224</v>
      </c>
      <c r="C5" s="57"/>
      <c r="D5" s="57"/>
      <c r="E5" s="57"/>
      <c r="F5" s="57"/>
      <c r="G5" s="57"/>
      <c r="H5" s="262" t="s">
        <v>327</v>
      </c>
      <c r="I5" s="241" t="s">
        <v>299</v>
      </c>
      <c r="J5" s="241" t="s">
        <v>46</v>
      </c>
      <c r="K5" s="244"/>
      <c r="L5" s="207"/>
      <c r="M5" s="207"/>
      <c r="N5" s="207"/>
      <c r="O5" s="245"/>
    </row>
    <row r="6" spans="1:15" ht="15.75" customHeight="1" x14ac:dyDescent="0.75">
      <c r="A6" s="224"/>
      <c r="B6" s="130" t="s">
        <v>227</v>
      </c>
      <c r="C6" s="57"/>
      <c r="D6" s="57"/>
      <c r="E6" s="57"/>
      <c r="F6" s="57"/>
      <c r="G6" s="57"/>
      <c r="H6" s="224"/>
      <c r="I6" s="224"/>
      <c r="J6" s="224"/>
      <c r="K6" s="244"/>
      <c r="L6" s="207"/>
      <c r="M6" s="207"/>
      <c r="N6" s="207"/>
      <c r="O6" s="245"/>
    </row>
    <row r="7" spans="1:15" ht="15" customHeight="1" x14ac:dyDescent="0.75">
      <c r="A7" s="224"/>
      <c r="B7" s="130" t="s">
        <v>228</v>
      </c>
      <c r="C7" s="58"/>
      <c r="D7" s="58"/>
      <c r="E7" s="58"/>
      <c r="F7" s="58"/>
      <c r="G7" s="58"/>
      <c r="H7" s="224"/>
      <c r="I7" s="224"/>
      <c r="J7" s="224"/>
      <c r="K7" s="244"/>
      <c r="L7" s="207"/>
      <c r="M7" s="207"/>
      <c r="N7" s="207"/>
      <c r="O7" s="245"/>
    </row>
    <row r="8" spans="1:15" ht="15" customHeight="1" x14ac:dyDescent="0.75">
      <c r="A8" s="224"/>
      <c r="B8" s="130" t="s">
        <v>229</v>
      </c>
      <c r="C8" s="58"/>
      <c r="D8" s="58"/>
      <c r="E8" s="58"/>
      <c r="F8" s="58"/>
      <c r="G8" s="58"/>
      <c r="H8" s="224"/>
      <c r="I8" s="224"/>
      <c r="J8" s="224"/>
      <c r="K8" s="244"/>
      <c r="L8" s="207"/>
      <c r="M8" s="207"/>
      <c r="N8" s="207"/>
      <c r="O8" s="245"/>
    </row>
    <row r="9" spans="1:15" ht="15" customHeight="1" x14ac:dyDescent="0.75">
      <c r="A9" s="213"/>
      <c r="B9" s="59" t="s">
        <v>230</v>
      </c>
      <c r="C9" s="60"/>
      <c r="D9" s="60">
        <v>20</v>
      </c>
      <c r="E9" s="60">
        <v>30</v>
      </c>
      <c r="F9" s="60">
        <v>40</v>
      </c>
      <c r="G9" s="60">
        <v>50</v>
      </c>
      <c r="H9" s="213"/>
      <c r="I9" s="213"/>
      <c r="J9" s="213"/>
      <c r="K9" s="246"/>
      <c r="L9" s="216"/>
      <c r="M9" s="216"/>
      <c r="N9" s="216"/>
      <c r="O9" s="247"/>
    </row>
    <row r="10" spans="1:15" ht="37.5" customHeight="1" x14ac:dyDescent="0.75">
      <c r="A10" s="258" t="s">
        <v>231</v>
      </c>
      <c r="B10" s="210"/>
      <c r="C10" s="210"/>
      <c r="D10" s="210"/>
      <c r="E10" s="210"/>
      <c r="F10" s="210"/>
      <c r="G10" s="211"/>
      <c r="H10" s="250" t="s">
        <v>47</v>
      </c>
      <c r="I10" s="210"/>
      <c r="J10" s="210"/>
      <c r="K10" s="210"/>
      <c r="L10" s="210"/>
      <c r="M10" s="210"/>
      <c r="N10" s="210"/>
      <c r="O10" s="211"/>
    </row>
    <row r="11" spans="1:15" ht="15" customHeight="1" x14ac:dyDescent="0.75">
      <c r="A11" s="301" t="s">
        <v>232</v>
      </c>
      <c r="B11" s="242"/>
      <c r="C11" s="243"/>
      <c r="D11" s="300" t="s">
        <v>59</v>
      </c>
      <c r="E11" s="242"/>
      <c r="F11" s="242"/>
      <c r="G11" s="242"/>
      <c r="H11" s="294" t="s">
        <v>328</v>
      </c>
      <c r="I11" s="242"/>
      <c r="J11" s="242"/>
      <c r="K11" s="242"/>
      <c r="L11" s="242"/>
      <c r="M11" s="242"/>
      <c r="N11" s="242"/>
      <c r="O11" s="295"/>
    </row>
    <row r="12" spans="1:15" ht="15" customHeight="1" x14ac:dyDescent="0.75">
      <c r="A12" s="268" t="s">
        <v>329</v>
      </c>
      <c r="B12" s="242"/>
      <c r="C12" s="242"/>
      <c r="D12" s="242"/>
      <c r="E12" s="242"/>
      <c r="F12" s="242"/>
      <c r="G12" s="243"/>
      <c r="H12" s="240" t="s">
        <v>235</v>
      </c>
      <c r="I12" s="210"/>
      <c r="J12" s="210"/>
      <c r="K12" s="210"/>
      <c r="L12" s="210"/>
      <c r="M12" s="210"/>
      <c r="N12" s="210"/>
      <c r="O12" s="211"/>
    </row>
    <row r="13" spans="1:15" ht="15" customHeight="1" x14ac:dyDescent="0.75">
      <c r="A13" s="249" t="s">
        <v>339</v>
      </c>
      <c r="B13" s="207"/>
      <c r="C13" s="207"/>
      <c r="D13" s="207"/>
      <c r="E13" s="207"/>
      <c r="F13" s="207"/>
      <c r="G13" s="245"/>
      <c r="H13" s="240" t="s">
        <v>236</v>
      </c>
      <c r="I13" s="211"/>
      <c r="J13" s="240" t="s">
        <v>237</v>
      </c>
      <c r="K13" s="211"/>
      <c r="L13" s="129" t="s">
        <v>238</v>
      </c>
      <c r="M13" s="240" t="s">
        <v>272</v>
      </c>
      <c r="N13" s="210"/>
      <c r="O13" s="211"/>
    </row>
    <row r="14" spans="1:15" ht="15.75" customHeight="1" x14ac:dyDescent="0.75">
      <c r="A14" s="244"/>
      <c r="B14" s="207"/>
      <c r="C14" s="207"/>
      <c r="D14" s="207"/>
      <c r="E14" s="207"/>
      <c r="F14" s="207"/>
      <c r="G14" s="245"/>
      <c r="H14" s="252" t="s">
        <v>240</v>
      </c>
      <c r="I14" s="211"/>
      <c r="J14" s="241"/>
      <c r="K14" s="211"/>
      <c r="L14" s="149" t="str">
        <f>IFERROR(J14/M14,"")</f>
        <v/>
      </c>
      <c r="M14" s="252"/>
      <c r="N14" s="210"/>
      <c r="O14" s="211"/>
    </row>
    <row r="15" spans="1:15" ht="15.75" customHeight="1" x14ac:dyDescent="0.75">
      <c r="A15" s="244"/>
      <c r="B15" s="207"/>
      <c r="C15" s="207"/>
      <c r="D15" s="207"/>
      <c r="E15" s="207"/>
      <c r="F15" s="207"/>
      <c r="G15" s="245"/>
      <c r="H15" s="252">
        <v>2024</v>
      </c>
      <c r="I15" s="211"/>
      <c r="J15" s="252"/>
      <c r="K15" s="211"/>
      <c r="L15" s="149">
        <f>IFERROR(J15/M15,"")</f>
        <v>0</v>
      </c>
      <c r="M15" s="252">
        <f>D9</f>
        <v>20</v>
      </c>
      <c r="N15" s="210"/>
      <c r="O15" s="211"/>
    </row>
    <row r="16" spans="1:15" ht="15.75" customHeight="1" x14ac:dyDescent="0.75">
      <c r="A16" s="244"/>
      <c r="B16" s="207"/>
      <c r="C16" s="207"/>
      <c r="D16" s="207"/>
      <c r="E16" s="207"/>
      <c r="F16" s="207"/>
      <c r="G16" s="245"/>
      <c r="H16" s="252">
        <v>2025</v>
      </c>
      <c r="I16" s="211"/>
      <c r="J16" s="252"/>
      <c r="K16" s="211"/>
      <c r="L16" s="149">
        <f>IFERROR(J16/M16,"")</f>
        <v>0</v>
      </c>
      <c r="M16" s="252">
        <f>E9</f>
        <v>30</v>
      </c>
      <c r="N16" s="210"/>
      <c r="O16" s="211"/>
    </row>
    <row r="17" spans="1:15" ht="15.75" customHeight="1" x14ac:dyDescent="0.75">
      <c r="A17" s="244"/>
      <c r="B17" s="207"/>
      <c r="C17" s="207"/>
      <c r="D17" s="207"/>
      <c r="E17" s="207"/>
      <c r="F17" s="207"/>
      <c r="G17" s="245"/>
      <c r="H17" s="252">
        <v>2026</v>
      </c>
      <c r="I17" s="211"/>
      <c r="J17" s="252"/>
      <c r="K17" s="211"/>
      <c r="L17" s="149">
        <f>IFERROR(J17/M17,"")</f>
        <v>0</v>
      </c>
      <c r="M17" s="252">
        <f>F9</f>
        <v>40</v>
      </c>
      <c r="N17" s="210"/>
      <c r="O17" s="211"/>
    </row>
    <row r="18" spans="1:15" ht="15.75" customHeight="1" x14ac:dyDescent="0.75">
      <c r="A18" s="246"/>
      <c r="B18" s="216"/>
      <c r="C18" s="216"/>
      <c r="D18" s="216"/>
      <c r="E18" s="216"/>
      <c r="F18" s="216"/>
      <c r="G18" s="247"/>
      <c r="H18" s="252">
        <v>2027</v>
      </c>
      <c r="I18" s="211"/>
      <c r="J18" s="252"/>
      <c r="K18" s="211"/>
      <c r="L18" s="149">
        <f>IFERROR(J18/M18,"")</f>
        <v>0</v>
      </c>
      <c r="M18" s="252">
        <f>G9</f>
        <v>50</v>
      </c>
      <c r="N18" s="210"/>
      <c r="O18" s="211"/>
    </row>
    <row r="19" spans="1:15" ht="28" customHeight="1" x14ac:dyDescent="0.75">
      <c r="A19" s="54" t="s">
        <v>241</v>
      </c>
      <c r="B19" s="257" t="s">
        <v>340</v>
      </c>
      <c r="C19" s="210"/>
      <c r="D19" s="210"/>
      <c r="E19" s="210"/>
      <c r="F19" s="210"/>
      <c r="G19" s="210"/>
      <c r="H19" s="210"/>
      <c r="I19" s="210"/>
      <c r="J19" s="210"/>
      <c r="K19" s="210"/>
      <c r="L19" s="210"/>
      <c r="M19" s="210"/>
      <c r="N19" s="210"/>
      <c r="O19" s="211"/>
    </row>
    <row r="20" spans="1:15" ht="40" customHeight="1" x14ac:dyDescent="0.75">
      <c r="A20" s="54" t="s">
        <v>242</v>
      </c>
      <c r="B20" s="257" t="s">
        <v>338</v>
      </c>
      <c r="C20" s="210"/>
      <c r="D20" s="210"/>
      <c r="E20" s="210"/>
      <c r="F20" s="210"/>
      <c r="G20" s="210"/>
      <c r="H20" s="210"/>
      <c r="I20" s="210"/>
      <c r="J20" s="210"/>
      <c r="K20" s="210"/>
      <c r="L20" s="210"/>
      <c r="M20" s="210"/>
      <c r="N20" s="210"/>
      <c r="O20" s="211"/>
    </row>
    <row r="21" spans="1:15" ht="40" customHeight="1" x14ac:dyDescent="0.75">
      <c r="A21" s="54" t="s">
        <v>243</v>
      </c>
      <c r="B21" s="256" t="s">
        <v>330</v>
      </c>
      <c r="C21" s="210"/>
      <c r="D21" s="210"/>
      <c r="E21" s="210"/>
      <c r="F21" s="210"/>
      <c r="G21" s="210"/>
      <c r="H21" s="210"/>
      <c r="I21" s="210"/>
      <c r="J21" s="210"/>
      <c r="K21" s="210"/>
      <c r="L21" s="210"/>
      <c r="M21" s="210"/>
      <c r="N21" s="210"/>
      <c r="O21" s="211"/>
    </row>
    <row r="22" spans="1:15" ht="40" customHeight="1" x14ac:dyDescent="0.75">
      <c r="A22" s="54" t="s">
        <v>276</v>
      </c>
      <c r="B22" s="256" t="s">
        <v>326</v>
      </c>
      <c r="C22" s="210"/>
      <c r="D22" s="210"/>
      <c r="E22" s="210"/>
      <c r="F22" s="210"/>
      <c r="G22" s="210"/>
      <c r="H22" s="210"/>
      <c r="I22" s="210"/>
      <c r="J22" s="210"/>
      <c r="K22" s="210"/>
      <c r="L22" s="210"/>
      <c r="M22" s="210"/>
      <c r="N22" s="210"/>
      <c r="O22" s="211"/>
    </row>
    <row r="23" spans="1:15" ht="28" customHeight="1" x14ac:dyDescent="0.75">
      <c r="A23" s="54" t="s">
        <v>278</v>
      </c>
      <c r="B23" s="267" t="s">
        <v>293</v>
      </c>
      <c r="C23" s="210"/>
      <c r="D23" s="210"/>
      <c r="E23" s="210"/>
      <c r="F23" s="210"/>
      <c r="G23" s="210"/>
      <c r="H23" s="210"/>
      <c r="I23" s="210"/>
      <c r="J23" s="210"/>
      <c r="K23" s="210"/>
      <c r="L23" s="210"/>
      <c r="M23" s="210"/>
      <c r="N23" s="210"/>
      <c r="O23" s="211"/>
    </row>
    <row r="24" spans="1:15" ht="40" customHeight="1" x14ac:dyDescent="0.75">
      <c r="A24" s="54" t="s">
        <v>306</v>
      </c>
      <c r="B24" s="267" t="s">
        <v>331</v>
      </c>
      <c r="C24" s="210"/>
      <c r="D24" s="210"/>
      <c r="E24" s="210"/>
      <c r="F24" s="210"/>
      <c r="G24" s="210"/>
      <c r="H24" s="210"/>
      <c r="I24" s="210"/>
      <c r="J24" s="210"/>
      <c r="K24" s="210"/>
      <c r="L24" s="210"/>
      <c r="M24" s="210"/>
      <c r="N24" s="210"/>
      <c r="O24" s="211"/>
    </row>
    <row r="25" spans="1:15" ht="40" customHeight="1" x14ac:dyDescent="0.75">
      <c r="A25" s="54" t="s">
        <v>251</v>
      </c>
      <c r="B25" s="267" t="s">
        <v>332</v>
      </c>
      <c r="C25" s="210"/>
      <c r="D25" s="210"/>
      <c r="E25" s="210"/>
      <c r="F25" s="210"/>
      <c r="G25" s="210"/>
      <c r="H25" s="210"/>
      <c r="I25" s="210"/>
      <c r="J25" s="210"/>
      <c r="K25" s="210"/>
      <c r="L25" s="210"/>
      <c r="M25" s="210"/>
      <c r="N25" s="210"/>
      <c r="O25" s="211"/>
    </row>
    <row r="26" spans="1:15" ht="40" customHeight="1" x14ac:dyDescent="0.75">
      <c r="A26" s="54" t="s">
        <v>253</v>
      </c>
      <c r="B26" s="267" t="s">
        <v>282</v>
      </c>
      <c r="C26" s="210"/>
      <c r="D26" s="210"/>
      <c r="E26" s="210"/>
      <c r="F26" s="210"/>
      <c r="G26" s="210"/>
      <c r="H26" s="210"/>
      <c r="I26" s="210"/>
      <c r="J26" s="210"/>
      <c r="K26" s="210"/>
      <c r="L26" s="210"/>
      <c r="M26" s="210"/>
      <c r="N26" s="210"/>
      <c r="O26" s="211"/>
    </row>
    <row r="27" spans="1:15" ht="40" customHeight="1" x14ac:dyDescent="0.75">
      <c r="A27" s="54" t="s">
        <v>283</v>
      </c>
      <c r="B27" s="259" t="s">
        <v>333</v>
      </c>
      <c r="C27" s="210"/>
      <c r="D27" s="210"/>
      <c r="E27" s="210"/>
      <c r="F27" s="210"/>
      <c r="G27" s="210"/>
      <c r="H27" s="210"/>
      <c r="I27" s="210"/>
      <c r="J27" s="210"/>
      <c r="K27" s="210"/>
      <c r="L27" s="210"/>
      <c r="M27" s="210"/>
      <c r="N27" s="210"/>
      <c r="O27" s="211"/>
    </row>
    <row r="28" spans="1:15" ht="40" customHeight="1" x14ac:dyDescent="0.75">
      <c r="A28" s="54" t="s">
        <v>334</v>
      </c>
      <c r="B28" s="256" t="s">
        <v>56</v>
      </c>
      <c r="C28" s="210"/>
      <c r="D28" s="210"/>
      <c r="E28" s="210"/>
      <c r="F28" s="210"/>
      <c r="G28" s="210"/>
      <c r="H28" s="210"/>
      <c r="I28" s="210"/>
      <c r="J28" s="210"/>
      <c r="K28" s="210"/>
      <c r="L28" s="210"/>
      <c r="M28" s="210"/>
      <c r="N28" s="210"/>
      <c r="O28" s="211"/>
    </row>
    <row r="29" spans="1:15" ht="28" customHeight="1" x14ac:dyDescent="0.75">
      <c r="A29" s="54" t="s">
        <v>258</v>
      </c>
      <c r="B29" s="259" t="s">
        <v>327</v>
      </c>
      <c r="C29" s="210"/>
      <c r="D29" s="210"/>
      <c r="E29" s="210"/>
      <c r="F29" s="210"/>
      <c r="G29" s="210"/>
      <c r="H29" s="210"/>
      <c r="I29" s="210"/>
      <c r="J29" s="210"/>
      <c r="K29" s="210"/>
      <c r="L29" s="210"/>
      <c r="M29" s="210"/>
      <c r="N29" s="210"/>
      <c r="O29" s="211"/>
    </row>
    <row r="30" spans="1:15" ht="28" customHeight="1" x14ac:dyDescent="0.75">
      <c r="A30" s="54" t="s">
        <v>259</v>
      </c>
      <c r="B30" s="256" t="s">
        <v>260</v>
      </c>
      <c r="C30" s="210"/>
      <c r="D30" s="210"/>
      <c r="E30" s="210"/>
      <c r="F30" s="210"/>
      <c r="G30" s="210"/>
      <c r="H30" s="210"/>
      <c r="I30" s="210"/>
      <c r="J30" s="210"/>
      <c r="K30" s="210"/>
      <c r="L30" s="210"/>
      <c r="M30" s="210"/>
      <c r="N30" s="210"/>
      <c r="O30" s="211"/>
    </row>
    <row r="31" spans="1:15" ht="40" customHeight="1" x14ac:dyDescent="0.75">
      <c r="A31" s="54" t="s">
        <v>261</v>
      </c>
      <c r="B31" s="259" t="s">
        <v>335</v>
      </c>
      <c r="C31" s="210"/>
      <c r="D31" s="210"/>
      <c r="E31" s="210"/>
      <c r="F31" s="210"/>
      <c r="G31" s="210"/>
      <c r="H31" s="210"/>
      <c r="I31" s="210"/>
      <c r="J31" s="210"/>
      <c r="K31" s="210"/>
      <c r="L31" s="210"/>
      <c r="M31" s="210"/>
      <c r="N31" s="210"/>
      <c r="O31" s="211"/>
    </row>
    <row r="32" spans="1:15" ht="68" customHeight="1" x14ac:dyDescent="0.75">
      <c r="A32" s="54" t="s">
        <v>314</v>
      </c>
      <c r="B32" s="271" t="s">
        <v>336</v>
      </c>
      <c r="C32" s="210"/>
      <c r="D32" s="210"/>
      <c r="E32" s="210"/>
      <c r="F32" s="210"/>
      <c r="G32" s="210"/>
      <c r="H32" s="210"/>
      <c r="I32" s="210"/>
      <c r="J32" s="210"/>
      <c r="K32" s="210"/>
      <c r="L32" s="210"/>
      <c r="M32" s="210"/>
      <c r="N32" s="210"/>
      <c r="O32" s="211"/>
    </row>
  </sheetData>
  <mergeCells count="54">
    <mergeCell ref="B32:O32"/>
    <mergeCell ref="J17:K17"/>
    <mergeCell ref="B30:O30"/>
    <mergeCell ref="B24:O24"/>
    <mergeCell ref="H18:I18"/>
    <mergeCell ref="B29:O29"/>
    <mergeCell ref="B28:O28"/>
    <mergeCell ref="B26:O26"/>
    <mergeCell ref="B25:O25"/>
    <mergeCell ref="A1:O1"/>
    <mergeCell ref="J18:K18"/>
    <mergeCell ref="B20:O20"/>
    <mergeCell ref="H14:I14"/>
    <mergeCell ref="C2:G2"/>
    <mergeCell ref="K2:O2"/>
    <mergeCell ref="H3:H4"/>
    <mergeCell ref="H5:H9"/>
    <mergeCell ref="J3:J4"/>
    <mergeCell ref="B19:O19"/>
    <mergeCell ref="D11:G11"/>
    <mergeCell ref="H13:I13"/>
    <mergeCell ref="H12:O12"/>
    <mergeCell ref="A11:C11"/>
    <mergeCell ref="C3:C4"/>
    <mergeCell ref="H2:J2"/>
    <mergeCell ref="B31:O31"/>
    <mergeCell ref="J13:K13"/>
    <mergeCell ref="B22:O22"/>
    <mergeCell ref="A10:G10"/>
    <mergeCell ref="M15:O15"/>
    <mergeCell ref="B27:O27"/>
    <mergeCell ref="B21:O21"/>
    <mergeCell ref="M18:O18"/>
    <mergeCell ref="J15:K15"/>
    <mergeCell ref="B23:O23"/>
    <mergeCell ref="H17:I17"/>
    <mergeCell ref="M14:O14"/>
    <mergeCell ref="D3:G3"/>
    <mergeCell ref="I5:I9"/>
    <mergeCell ref="M16:O16"/>
    <mergeCell ref="A3:A9"/>
    <mergeCell ref="B3:B4"/>
    <mergeCell ref="J14:K14"/>
    <mergeCell ref="K3:O9"/>
    <mergeCell ref="A12:G18"/>
    <mergeCell ref="M13:O13"/>
    <mergeCell ref="H10:O10"/>
    <mergeCell ref="J5:J9"/>
    <mergeCell ref="H16:I16"/>
    <mergeCell ref="H11:O11"/>
    <mergeCell ref="J16:K16"/>
    <mergeCell ref="H15:I15"/>
    <mergeCell ref="I3:I4"/>
    <mergeCell ref="M17:O17"/>
  </mergeCells>
  <printOptions horizontalCentered="1"/>
  <pageMargins left="0.7" right="0.7" top="0.75" bottom="0.75" header="0.511811023622047" footer="0.511811023622047"/>
  <pageSetup paperSize="9" scale="50"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2"/>
  <sheetViews>
    <sheetView topLeftCell="B22" zoomScale="70" zoomScaleNormal="70" workbookViewId="0">
      <selection activeCell="B32" sqref="B32:O32"/>
    </sheetView>
  </sheetViews>
  <sheetFormatPr baseColWidth="10" defaultColWidth="11.453125" defaultRowHeight="14.75" x14ac:dyDescent="0.75"/>
  <cols>
    <col min="1" max="1" width="31.453125" style="124" customWidth="1"/>
    <col min="2" max="2" width="15.453125" style="124" customWidth="1"/>
    <col min="3" max="3" width="13" style="124" customWidth="1"/>
    <col min="4" max="4" width="10" style="124" customWidth="1"/>
    <col min="5" max="7" width="13" style="124" customWidth="1"/>
    <col min="8" max="8" width="15.453125" style="124" customWidth="1"/>
    <col min="9" max="9" width="12.453125" style="124" customWidth="1"/>
    <col min="10" max="10" width="13.453125" style="124" customWidth="1"/>
    <col min="14" max="14" width="7.2265625" style="124" customWidth="1"/>
  </cols>
  <sheetData>
    <row r="1" spans="1:15" ht="18" customHeight="1" x14ac:dyDescent="0.75">
      <c r="A1" s="272" t="s">
        <v>350</v>
      </c>
      <c r="B1" s="207"/>
      <c r="C1" s="207"/>
      <c r="D1" s="207"/>
      <c r="E1" s="207"/>
      <c r="F1" s="207"/>
      <c r="G1" s="207"/>
      <c r="H1" s="207"/>
      <c r="I1" s="207"/>
      <c r="J1" s="207"/>
      <c r="K1" s="207"/>
      <c r="L1" s="207"/>
      <c r="M1" s="207"/>
      <c r="N1" s="207"/>
      <c r="O1" s="207"/>
    </row>
    <row r="2" spans="1:15" ht="30.75" customHeight="1" x14ac:dyDescent="0.75">
      <c r="A2" s="126" t="s">
        <v>214</v>
      </c>
      <c r="B2" s="126" t="s">
        <v>215</v>
      </c>
      <c r="C2" s="261" t="s">
        <v>216</v>
      </c>
      <c r="D2" s="210"/>
      <c r="E2" s="210"/>
      <c r="F2" s="210"/>
      <c r="G2" s="211"/>
      <c r="H2" s="264" t="s">
        <v>217</v>
      </c>
      <c r="I2" s="210"/>
      <c r="J2" s="211"/>
      <c r="K2" s="261" t="s">
        <v>218</v>
      </c>
      <c r="L2" s="210"/>
      <c r="M2" s="210"/>
      <c r="N2" s="210"/>
      <c r="O2" s="211"/>
    </row>
    <row r="3" spans="1:15" ht="14.25" customHeight="1" x14ac:dyDescent="0.75">
      <c r="A3" s="240" t="s">
        <v>341</v>
      </c>
      <c r="B3" s="240"/>
      <c r="C3" s="254" t="s">
        <v>219</v>
      </c>
      <c r="D3" s="240" t="s">
        <v>220</v>
      </c>
      <c r="E3" s="210"/>
      <c r="F3" s="210"/>
      <c r="G3" s="211"/>
      <c r="H3" s="254" t="s">
        <v>38</v>
      </c>
      <c r="I3" s="254" t="s">
        <v>221</v>
      </c>
      <c r="J3" s="254" t="s">
        <v>222</v>
      </c>
      <c r="K3" s="250" t="s">
        <v>342</v>
      </c>
      <c r="L3" s="242"/>
      <c r="M3" s="242"/>
      <c r="N3" s="242"/>
      <c r="O3" s="243"/>
    </row>
    <row r="4" spans="1:15" ht="36"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57"/>
      <c r="D5" s="57"/>
      <c r="E5" s="57"/>
      <c r="F5" s="57"/>
      <c r="G5" s="57"/>
      <c r="H5" s="262" t="s">
        <v>327</v>
      </c>
      <c r="I5" s="241" t="s">
        <v>343</v>
      </c>
      <c r="J5" s="241" t="s">
        <v>46</v>
      </c>
      <c r="K5" s="244"/>
      <c r="L5" s="207"/>
      <c r="M5" s="207"/>
      <c r="N5" s="207"/>
      <c r="O5" s="245"/>
    </row>
    <row r="6" spans="1:15" ht="15" customHeight="1" x14ac:dyDescent="0.75">
      <c r="A6" s="224"/>
      <c r="B6" s="130" t="s">
        <v>227</v>
      </c>
      <c r="C6" s="57"/>
      <c r="D6" s="57"/>
      <c r="E6" s="57"/>
      <c r="F6" s="57"/>
      <c r="G6" s="57"/>
      <c r="H6" s="224"/>
      <c r="I6" s="224"/>
      <c r="J6" s="224"/>
      <c r="K6" s="244"/>
      <c r="L6" s="207"/>
      <c r="M6" s="207"/>
      <c r="N6" s="207"/>
      <c r="O6" s="245"/>
    </row>
    <row r="7" spans="1:15" ht="15" customHeight="1" x14ac:dyDescent="0.75">
      <c r="A7" s="224"/>
      <c r="B7" s="130" t="s">
        <v>228</v>
      </c>
      <c r="C7" s="58"/>
      <c r="D7" s="58"/>
      <c r="E7" s="58"/>
      <c r="F7" s="58"/>
      <c r="G7" s="58"/>
      <c r="H7" s="224"/>
      <c r="I7" s="224"/>
      <c r="J7" s="224"/>
      <c r="K7" s="244"/>
      <c r="L7" s="207"/>
      <c r="M7" s="207"/>
      <c r="N7" s="207"/>
      <c r="O7" s="245"/>
    </row>
    <row r="8" spans="1:15" ht="15" customHeight="1" x14ac:dyDescent="0.75">
      <c r="A8" s="224"/>
      <c r="B8" s="130" t="s">
        <v>229</v>
      </c>
      <c r="C8" s="58"/>
      <c r="D8" s="58"/>
      <c r="E8" s="58"/>
      <c r="F8" s="58"/>
      <c r="G8" s="58"/>
      <c r="H8" s="224"/>
      <c r="I8" s="224"/>
      <c r="J8" s="224"/>
      <c r="K8" s="244"/>
      <c r="L8" s="207"/>
      <c r="M8" s="207"/>
      <c r="N8" s="207"/>
      <c r="O8" s="245"/>
    </row>
    <row r="9" spans="1:15" ht="15" customHeight="1" x14ac:dyDescent="0.75">
      <c r="A9" s="213"/>
      <c r="B9" s="59" t="s">
        <v>230</v>
      </c>
      <c r="C9" s="60">
        <v>1</v>
      </c>
      <c r="D9" s="60">
        <v>2</v>
      </c>
      <c r="E9" s="60">
        <v>2</v>
      </c>
      <c r="F9" s="60">
        <v>5</v>
      </c>
      <c r="G9" s="60">
        <v>5</v>
      </c>
      <c r="H9" s="213"/>
      <c r="I9" s="213"/>
      <c r="J9" s="213"/>
      <c r="K9" s="246"/>
      <c r="L9" s="216"/>
      <c r="M9" s="216"/>
      <c r="N9" s="216"/>
      <c r="O9" s="247"/>
    </row>
    <row r="10" spans="1:15" ht="30.75" customHeight="1" x14ac:dyDescent="0.75">
      <c r="A10" s="258" t="s">
        <v>231</v>
      </c>
      <c r="B10" s="210"/>
      <c r="C10" s="210"/>
      <c r="D10" s="210"/>
      <c r="E10" s="210"/>
      <c r="F10" s="210"/>
      <c r="G10" s="211"/>
      <c r="H10" s="263" t="s">
        <v>7</v>
      </c>
      <c r="I10" s="210"/>
      <c r="J10" s="210"/>
      <c r="K10" s="210"/>
      <c r="L10" s="210"/>
      <c r="M10" s="210"/>
      <c r="N10" s="210"/>
      <c r="O10" s="211"/>
    </row>
    <row r="11" spans="1:15" ht="15.75" customHeight="1" x14ac:dyDescent="0.75">
      <c r="A11" s="263" t="s">
        <v>232</v>
      </c>
      <c r="B11" s="210"/>
      <c r="C11" s="211"/>
      <c r="D11" s="240" t="s">
        <v>62</v>
      </c>
      <c r="E11" s="210"/>
      <c r="F11" s="210"/>
      <c r="G11" s="211"/>
      <c r="H11" s="306" t="s">
        <v>344</v>
      </c>
      <c r="I11" s="210"/>
      <c r="J11" s="210"/>
      <c r="K11" s="210"/>
      <c r="L11" s="210"/>
      <c r="M11" s="210"/>
      <c r="N11" s="210"/>
      <c r="O11" s="211"/>
    </row>
    <row r="12" spans="1:15" ht="14.25" customHeight="1" x14ac:dyDescent="0.75">
      <c r="A12" s="268" t="s">
        <v>345</v>
      </c>
      <c r="B12" s="242"/>
      <c r="C12" s="242"/>
      <c r="D12" s="242"/>
      <c r="E12" s="242"/>
      <c r="F12" s="242"/>
      <c r="G12" s="243"/>
      <c r="H12" s="240" t="s">
        <v>235</v>
      </c>
      <c r="I12" s="210"/>
      <c r="J12" s="210"/>
      <c r="K12" s="210"/>
      <c r="L12" s="210"/>
      <c r="M12" s="210"/>
      <c r="N12" s="210"/>
      <c r="O12" s="211"/>
    </row>
    <row r="13" spans="1:15" ht="15" customHeight="1" x14ac:dyDescent="0.75">
      <c r="A13" s="249" t="s">
        <v>352</v>
      </c>
      <c r="B13" s="207"/>
      <c r="C13" s="207"/>
      <c r="D13" s="207"/>
      <c r="E13" s="207"/>
      <c r="F13" s="207"/>
      <c r="G13" s="245"/>
      <c r="H13" s="240" t="s">
        <v>236</v>
      </c>
      <c r="I13" s="211"/>
      <c r="J13" s="240" t="s">
        <v>237</v>
      </c>
      <c r="K13" s="211"/>
      <c r="L13" s="129" t="s">
        <v>238</v>
      </c>
      <c r="M13" s="240" t="s">
        <v>272</v>
      </c>
      <c r="N13" s="210"/>
      <c r="O13" s="211"/>
    </row>
    <row r="14" spans="1:15" ht="15.75" customHeight="1" x14ac:dyDescent="0.75">
      <c r="A14" s="244"/>
      <c r="B14" s="207"/>
      <c r="C14" s="207"/>
      <c r="D14" s="207"/>
      <c r="E14" s="207"/>
      <c r="F14" s="207"/>
      <c r="G14" s="245"/>
      <c r="H14" s="252" t="s">
        <v>240</v>
      </c>
      <c r="I14" s="211"/>
      <c r="J14" s="241"/>
      <c r="K14" s="211"/>
      <c r="L14" s="149">
        <f>IFERROR(J14/M14,"")</f>
        <v>0</v>
      </c>
      <c r="M14" s="252">
        <f>C9</f>
        <v>1</v>
      </c>
      <c r="N14" s="210"/>
      <c r="O14" s="211"/>
    </row>
    <row r="15" spans="1:15" ht="15.75" customHeight="1" x14ac:dyDescent="0.75">
      <c r="A15" s="244"/>
      <c r="B15" s="207"/>
      <c r="C15" s="207"/>
      <c r="D15" s="207"/>
      <c r="E15" s="207"/>
      <c r="F15" s="207"/>
      <c r="G15" s="245"/>
      <c r="H15" s="252">
        <v>2024</v>
      </c>
      <c r="I15" s="211"/>
      <c r="J15" s="252"/>
      <c r="K15" s="211"/>
      <c r="L15" s="149">
        <f>IFERROR(J15/M15,"")</f>
        <v>0</v>
      </c>
      <c r="M15" s="252">
        <f>D9</f>
        <v>2</v>
      </c>
      <c r="N15" s="210"/>
      <c r="O15" s="211"/>
    </row>
    <row r="16" spans="1:15" ht="15.75" customHeight="1" x14ac:dyDescent="0.75">
      <c r="A16" s="244"/>
      <c r="B16" s="207"/>
      <c r="C16" s="207"/>
      <c r="D16" s="207"/>
      <c r="E16" s="207"/>
      <c r="F16" s="207"/>
      <c r="G16" s="245"/>
      <c r="H16" s="252">
        <v>2025</v>
      </c>
      <c r="I16" s="211"/>
      <c r="J16" s="252"/>
      <c r="K16" s="211"/>
      <c r="L16" s="149">
        <f>IFERROR(J16/M16,"")</f>
        <v>0</v>
      </c>
      <c r="M16" s="252">
        <f>E9</f>
        <v>2</v>
      </c>
      <c r="N16" s="210"/>
      <c r="O16" s="211"/>
    </row>
    <row r="17" spans="1:15" ht="15.75" customHeight="1" x14ac:dyDescent="0.75">
      <c r="A17" s="244"/>
      <c r="B17" s="207"/>
      <c r="C17" s="207"/>
      <c r="D17" s="207"/>
      <c r="E17" s="207"/>
      <c r="F17" s="207"/>
      <c r="G17" s="245"/>
      <c r="H17" s="252">
        <v>2026</v>
      </c>
      <c r="I17" s="211"/>
      <c r="J17" s="252"/>
      <c r="K17" s="211"/>
      <c r="L17" s="149">
        <f>IFERROR(J17/M17,"")</f>
        <v>0</v>
      </c>
      <c r="M17" s="252">
        <f>F9</f>
        <v>5</v>
      </c>
      <c r="N17" s="210"/>
      <c r="O17" s="211"/>
    </row>
    <row r="18" spans="1:15" ht="15.75" customHeight="1" x14ac:dyDescent="0.75">
      <c r="A18" s="246"/>
      <c r="B18" s="216"/>
      <c r="C18" s="216"/>
      <c r="D18" s="216"/>
      <c r="E18" s="216"/>
      <c r="F18" s="216"/>
      <c r="G18" s="247"/>
      <c r="H18" s="252">
        <v>2027</v>
      </c>
      <c r="I18" s="211"/>
      <c r="J18" s="252"/>
      <c r="K18" s="211"/>
      <c r="L18" s="149">
        <f>IFERROR(J18/M18,"")</f>
        <v>0</v>
      </c>
      <c r="M18" s="252">
        <f>G9</f>
        <v>5</v>
      </c>
      <c r="N18" s="210"/>
      <c r="O18" s="211"/>
    </row>
    <row r="19" spans="1:15" ht="40" customHeight="1" x14ac:dyDescent="0.75">
      <c r="A19" s="54" t="s">
        <v>302</v>
      </c>
      <c r="B19" s="256" t="s">
        <v>346</v>
      </c>
      <c r="C19" s="210"/>
      <c r="D19" s="210"/>
      <c r="E19" s="210"/>
      <c r="F19" s="210"/>
      <c r="G19" s="210"/>
      <c r="H19" s="210"/>
      <c r="I19" s="210"/>
      <c r="J19" s="210"/>
      <c r="K19" s="210"/>
      <c r="L19" s="210"/>
      <c r="M19" s="210"/>
      <c r="N19" s="210"/>
      <c r="O19" s="211"/>
    </row>
    <row r="20" spans="1:15" ht="40" customHeight="1" x14ac:dyDescent="0.75">
      <c r="A20" s="54" t="s">
        <v>242</v>
      </c>
      <c r="B20" s="256" t="s">
        <v>321</v>
      </c>
      <c r="C20" s="210"/>
      <c r="D20" s="210"/>
      <c r="E20" s="210"/>
      <c r="F20" s="210"/>
      <c r="G20" s="210"/>
      <c r="H20" s="210"/>
      <c r="I20" s="210"/>
      <c r="J20" s="210"/>
      <c r="K20" s="210"/>
      <c r="L20" s="210"/>
      <c r="M20" s="210"/>
      <c r="N20" s="210"/>
      <c r="O20" s="211"/>
    </row>
    <row r="21" spans="1:15" ht="40" customHeight="1" x14ac:dyDescent="0.75">
      <c r="A21" s="54" t="s">
        <v>243</v>
      </c>
      <c r="B21" s="256" t="s">
        <v>347</v>
      </c>
      <c r="C21" s="210"/>
      <c r="D21" s="210"/>
      <c r="E21" s="210"/>
      <c r="F21" s="210"/>
      <c r="G21" s="210"/>
      <c r="H21" s="210"/>
      <c r="I21" s="210"/>
      <c r="J21" s="210"/>
      <c r="K21" s="210"/>
      <c r="L21" s="210"/>
      <c r="M21" s="210"/>
      <c r="N21" s="210"/>
      <c r="O21" s="211"/>
    </row>
    <row r="22" spans="1:15" ht="40" customHeight="1" x14ac:dyDescent="0.75">
      <c r="A22" s="54" t="s">
        <v>276</v>
      </c>
      <c r="B22" s="256" t="s">
        <v>342</v>
      </c>
      <c r="C22" s="210"/>
      <c r="D22" s="210"/>
      <c r="E22" s="210"/>
      <c r="F22" s="210"/>
      <c r="G22" s="210"/>
      <c r="H22" s="210"/>
      <c r="I22" s="210"/>
      <c r="J22" s="210"/>
      <c r="K22" s="210"/>
      <c r="L22" s="210"/>
      <c r="M22" s="210"/>
      <c r="N22" s="210"/>
      <c r="O22" s="211"/>
    </row>
    <row r="23" spans="1:15" ht="28" customHeight="1" x14ac:dyDescent="0.75">
      <c r="A23" s="54" t="s">
        <v>278</v>
      </c>
      <c r="B23" s="267" t="s">
        <v>348</v>
      </c>
      <c r="C23" s="210"/>
      <c r="D23" s="210"/>
      <c r="E23" s="210"/>
      <c r="F23" s="210"/>
      <c r="G23" s="210"/>
      <c r="H23" s="210"/>
      <c r="I23" s="210"/>
      <c r="J23" s="210"/>
      <c r="K23" s="210"/>
      <c r="L23" s="210"/>
      <c r="M23" s="210"/>
      <c r="N23" s="210"/>
      <c r="O23" s="211"/>
    </row>
    <row r="24" spans="1:15" ht="40" customHeight="1" x14ac:dyDescent="0.75">
      <c r="A24" s="65" t="s">
        <v>306</v>
      </c>
      <c r="B24" s="270" t="s">
        <v>549</v>
      </c>
      <c r="C24" s="210"/>
      <c r="D24" s="210"/>
      <c r="E24" s="210"/>
      <c r="F24" s="210"/>
      <c r="G24" s="210"/>
      <c r="H24" s="210"/>
      <c r="I24" s="210"/>
      <c r="J24" s="210"/>
      <c r="K24" s="210"/>
      <c r="L24" s="210"/>
      <c r="M24" s="210"/>
      <c r="N24" s="210"/>
      <c r="O24" s="211"/>
    </row>
    <row r="25" spans="1:15" ht="28" customHeight="1" x14ac:dyDescent="0.75">
      <c r="A25" s="65" t="s">
        <v>251</v>
      </c>
      <c r="B25" s="250" t="s">
        <v>281</v>
      </c>
      <c r="C25" s="210"/>
      <c r="D25" s="210"/>
      <c r="E25" s="210"/>
      <c r="F25" s="210"/>
      <c r="G25" s="210"/>
      <c r="H25" s="210"/>
      <c r="I25" s="210"/>
      <c r="J25" s="210"/>
      <c r="K25" s="210"/>
      <c r="L25" s="210"/>
      <c r="M25" s="210"/>
      <c r="N25" s="210"/>
      <c r="O25" s="211"/>
    </row>
    <row r="26" spans="1:15" ht="40" customHeight="1" x14ac:dyDescent="0.75">
      <c r="A26" s="65" t="s">
        <v>253</v>
      </c>
      <c r="B26" s="250" t="s">
        <v>349</v>
      </c>
      <c r="C26" s="210"/>
      <c r="D26" s="210"/>
      <c r="E26" s="210"/>
      <c r="F26" s="210"/>
      <c r="G26" s="210"/>
      <c r="H26" s="210"/>
      <c r="I26" s="210"/>
      <c r="J26" s="210"/>
      <c r="K26" s="210"/>
      <c r="L26" s="210"/>
      <c r="M26" s="210"/>
      <c r="N26" s="210"/>
      <c r="O26" s="211"/>
    </row>
    <row r="27" spans="1:15" ht="28" customHeight="1" x14ac:dyDescent="0.75">
      <c r="A27" s="54" t="s">
        <v>283</v>
      </c>
      <c r="B27" s="270" t="s">
        <v>351</v>
      </c>
      <c r="C27" s="210"/>
      <c r="D27" s="210"/>
      <c r="E27" s="210"/>
      <c r="F27" s="210"/>
      <c r="G27" s="210"/>
      <c r="H27" s="210"/>
      <c r="I27" s="210"/>
      <c r="J27" s="210"/>
      <c r="K27" s="210"/>
      <c r="L27" s="210"/>
      <c r="M27" s="210"/>
      <c r="N27" s="210"/>
      <c r="O27" s="211"/>
    </row>
    <row r="28" spans="1:15" ht="40" customHeight="1" x14ac:dyDescent="0.75">
      <c r="A28" s="54" t="s">
        <v>257</v>
      </c>
      <c r="B28" s="257" t="s">
        <v>353</v>
      </c>
      <c r="C28" s="210"/>
      <c r="D28" s="210"/>
      <c r="E28" s="210"/>
      <c r="F28" s="210"/>
      <c r="G28" s="210"/>
      <c r="H28" s="210"/>
      <c r="I28" s="210"/>
      <c r="J28" s="210"/>
      <c r="K28" s="210"/>
      <c r="L28" s="210"/>
      <c r="M28" s="210"/>
      <c r="N28" s="210"/>
      <c r="O28" s="211"/>
    </row>
    <row r="29" spans="1:15" ht="28" customHeight="1" x14ac:dyDescent="0.75">
      <c r="A29" s="54" t="s">
        <v>258</v>
      </c>
      <c r="B29" s="266" t="s">
        <v>327</v>
      </c>
      <c r="C29" s="210"/>
      <c r="D29" s="210"/>
      <c r="E29" s="210"/>
      <c r="F29" s="210"/>
      <c r="G29" s="210"/>
      <c r="H29" s="210"/>
      <c r="I29" s="210"/>
      <c r="J29" s="210"/>
      <c r="K29" s="210"/>
      <c r="L29" s="210"/>
      <c r="M29" s="210"/>
      <c r="N29" s="210"/>
      <c r="O29" s="211"/>
    </row>
    <row r="30" spans="1:15" ht="28" customHeight="1" x14ac:dyDescent="0.75">
      <c r="A30" s="54" t="s">
        <v>259</v>
      </c>
      <c r="B30" s="257" t="s">
        <v>550</v>
      </c>
      <c r="C30" s="210"/>
      <c r="D30" s="210"/>
      <c r="E30" s="210"/>
      <c r="F30" s="210"/>
      <c r="G30" s="210"/>
      <c r="H30" s="210"/>
      <c r="I30" s="210"/>
      <c r="J30" s="210"/>
      <c r="K30" s="210"/>
      <c r="L30" s="210"/>
      <c r="M30" s="210"/>
      <c r="N30" s="210"/>
      <c r="O30" s="211"/>
    </row>
    <row r="31" spans="1:15" ht="28" customHeight="1" x14ac:dyDescent="0.75">
      <c r="A31" s="54" t="s">
        <v>261</v>
      </c>
      <c r="B31" s="259" t="s">
        <v>46</v>
      </c>
      <c r="C31" s="210"/>
      <c r="D31" s="210"/>
      <c r="E31" s="210"/>
      <c r="F31" s="210"/>
      <c r="G31" s="210"/>
      <c r="H31" s="210"/>
      <c r="I31" s="210"/>
      <c r="J31" s="210"/>
      <c r="K31" s="210"/>
      <c r="L31" s="210"/>
      <c r="M31" s="210"/>
      <c r="N31" s="210"/>
      <c r="O31" s="211"/>
    </row>
    <row r="32" spans="1:15" ht="54" customHeight="1" x14ac:dyDescent="0.75">
      <c r="A32" s="54" t="s">
        <v>314</v>
      </c>
      <c r="B32" s="271" t="s">
        <v>336</v>
      </c>
      <c r="C32" s="210"/>
      <c r="D32" s="210"/>
      <c r="E32" s="210"/>
      <c r="F32" s="210"/>
      <c r="G32" s="210"/>
      <c r="H32" s="210"/>
      <c r="I32" s="210"/>
      <c r="J32" s="210"/>
      <c r="K32" s="210"/>
      <c r="L32" s="210"/>
      <c r="M32" s="210"/>
      <c r="N32" s="210"/>
      <c r="O32" s="211"/>
    </row>
  </sheetData>
  <mergeCells count="54">
    <mergeCell ref="B32:O32"/>
    <mergeCell ref="J17:K17"/>
    <mergeCell ref="B30:O30"/>
    <mergeCell ref="B24:O24"/>
    <mergeCell ref="H18:I18"/>
    <mergeCell ref="B29:O29"/>
    <mergeCell ref="B28:O28"/>
    <mergeCell ref="B26:O26"/>
    <mergeCell ref="B25:O25"/>
    <mergeCell ref="A1:O1"/>
    <mergeCell ref="J18:K18"/>
    <mergeCell ref="B20:O20"/>
    <mergeCell ref="H14:I14"/>
    <mergeCell ref="C2:G2"/>
    <mergeCell ref="K2:O2"/>
    <mergeCell ref="H3:H4"/>
    <mergeCell ref="H5:H9"/>
    <mergeCell ref="J3:J4"/>
    <mergeCell ref="B19:O19"/>
    <mergeCell ref="D11:G11"/>
    <mergeCell ref="H13:I13"/>
    <mergeCell ref="H12:O12"/>
    <mergeCell ref="A11:C11"/>
    <mergeCell ref="C3:C4"/>
    <mergeCell ref="H2:J2"/>
    <mergeCell ref="B31:O31"/>
    <mergeCell ref="J13:K13"/>
    <mergeCell ref="B22:O22"/>
    <mergeCell ref="A10:G10"/>
    <mergeCell ref="M15:O15"/>
    <mergeCell ref="B27:O27"/>
    <mergeCell ref="B21:O21"/>
    <mergeCell ref="M18:O18"/>
    <mergeCell ref="J15:K15"/>
    <mergeCell ref="B23:O23"/>
    <mergeCell ref="H17:I17"/>
    <mergeCell ref="M14:O14"/>
    <mergeCell ref="D3:G3"/>
    <mergeCell ref="I5:I9"/>
    <mergeCell ref="M16:O16"/>
    <mergeCell ref="A3:A9"/>
    <mergeCell ref="B3:B4"/>
    <mergeCell ref="J14:K14"/>
    <mergeCell ref="K3:O9"/>
    <mergeCell ref="A12:G18"/>
    <mergeCell ref="M13:O13"/>
    <mergeCell ref="H10:O10"/>
    <mergeCell ref="J5:J9"/>
    <mergeCell ref="H16:I16"/>
    <mergeCell ref="H11:O11"/>
    <mergeCell ref="J16:K16"/>
    <mergeCell ref="H15:I15"/>
    <mergeCell ref="I3:I4"/>
    <mergeCell ref="M17:O17"/>
  </mergeCells>
  <printOptions horizontalCentered="1"/>
  <pageMargins left="0.7" right="0.7" top="0.75" bottom="0.75" header="0.511811023622047" footer="0.511811023622047"/>
  <pageSetup paperSize="9" scale="50"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3"/>
  <sheetViews>
    <sheetView topLeftCell="A21" zoomScale="70" zoomScaleNormal="70" workbookViewId="0">
      <selection activeCell="H18" sqref="H18:I18"/>
    </sheetView>
  </sheetViews>
  <sheetFormatPr baseColWidth="10" defaultColWidth="11.453125" defaultRowHeight="14.75" x14ac:dyDescent="0.75"/>
  <cols>
    <col min="1" max="1" width="32.76953125" style="124" customWidth="1"/>
    <col min="2" max="2" width="15.2265625" style="124" customWidth="1"/>
    <col min="3" max="3" width="13" style="124" customWidth="1"/>
    <col min="4" max="5" width="10" style="124" customWidth="1"/>
    <col min="6" max="7" width="13" style="124" customWidth="1"/>
    <col min="8" max="8" width="16.76953125" style="124" customWidth="1"/>
    <col min="11" max="11" width="2.76953125" style="124" customWidth="1"/>
    <col min="15" max="15" width="7.2265625" style="124" customWidth="1"/>
  </cols>
  <sheetData>
    <row r="1" spans="1:15" ht="18" customHeight="1" x14ac:dyDescent="0.75">
      <c r="A1" s="272" t="s">
        <v>367</v>
      </c>
      <c r="B1" s="207"/>
      <c r="C1" s="207"/>
      <c r="D1" s="207"/>
      <c r="E1" s="207"/>
      <c r="F1" s="207"/>
      <c r="G1" s="207"/>
      <c r="H1" s="207"/>
      <c r="I1" s="207"/>
      <c r="J1" s="207"/>
      <c r="K1" s="207"/>
      <c r="L1" s="207"/>
      <c r="M1" s="207"/>
      <c r="N1" s="207"/>
      <c r="O1" s="207"/>
    </row>
    <row r="2" spans="1:15" ht="26.25" customHeight="1" x14ac:dyDescent="0.75">
      <c r="A2" s="126" t="s">
        <v>214</v>
      </c>
      <c r="B2" s="126" t="s">
        <v>215</v>
      </c>
      <c r="C2" s="261" t="s">
        <v>216</v>
      </c>
      <c r="D2" s="210"/>
      <c r="E2" s="210"/>
      <c r="F2" s="210"/>
      <c r="G2" s="211"/>
      <c r="H2" s="264" t="s">
        <v>217</v>
      </c>
      <c r="I2" s="210"/>
      <c r="J2" s="211"/>
      <c r="K2" s="261" t="s">
        <v>218</v>
      </c>
      <c r="L2" s="210"/>
      <c r="M2" s="210"/>
      <c r="N2" s="210"/>
      <c r="O2" s="211"/>
    </row>
    <row r="3" spans="1:15" ht="14.25" customHeight="1" x14ac:dyDescent="0.75">
      <c r="A3" s="240" t="s">
        <v>354</v>
      </c>
      <c r="B3" s="240"/>
      <c r="C3" s="254" t="s">
        <v>219</v>
      </c>
      <c r="D3" s="240" t="s">
        <v>220</v>
      </c>
      <c r="E3" s="210"/>
      <c r="F3" s="210"/>
      <c r="G3" s="211"/>
      <c r="H3" s="254" t="s">
        <v>38</v>
      </c>
      <c r="I3" s="254" t="s">
        <v>221</v>
      </c>
      <c r="J3" s="254" t="s">
        <v>222</v>
      </c>
      <c r="K3" s="250" t="s">
        <v>355</v>
      </c>
      <c r="L3" s="242"/>
      <c r="M3" s="242"/>
      <c r="N3" s="242"/>
      <c r="O3" s="243"/>
    </row>
    <row r="4" spans="1:15" ht="23.2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57"/>
      <c r="D5" s="57"/>
      <c r="E5" s="57"/>
      <c r="F5" s="57"/>
      <c r="G5" s="57"/>
      <c r="H5" s="262" t="s">
        <v>356</v>
      </c>
      <c r="I5" s="241" t="s">
        <v>357</v>
      </c>
      <c r="J5" s="241" t="s">
        <v>46</v>
      </c>
      <c r="K5" s="244"/>
      <c r="L5" s="207"/>
      <c r="M5" s="207"/>
      <c r="N5" s="207"/>
      <c r="O5" s="245"/>
    </row>
    <row r="6" spans="1:15" ht="15" customHeight="1" x14ac:dyDescent="0.75">
      <c r="A6" s="224"/>
      <c r="B6" s="130" t="s">
        <v>227</v>
      </c>
      <c r="C6" s="57"/>
      <c r="D6" s="57"/>
      <c r="E6" s="57"/>
      <c r="F6" s="57"/>
      <c r="G6" s="57"/>
      <c r="H6" s="224"/>
      <c r="I6" s="224"/>
      <c r="J6" s="224"/>
      <c r="K6" s="244"/>
      <c r="L6" s="207"/>
      <c r="M6" s="207"/>
      <c r="N6" s="207"/>
      <c r="O6" s="245"/>
    </row>
    <row r="7" spans="1:15" ht="15" customHeight="1" x14ac:dyDescent="0.75">
      <c r="A7" s="224"/>
      <c r="B7" s="130" t="s">
        <v>228</v>
      </c>
      <c r="C7" s="58"/>
      <c r="D7" s="58"/>
      <c r="E7" s="58"/>
      <c r="F7" s="58"/>
      <c r="G7" s="58"/>
      <c r="H7" s="224"/>
      <c r="I7" s="224"/>
      <c r="J7" s="224"/>
      <c r="K7" s="244"/>
      <c r="L7" s="207"/>
      <c r="M7" s="207"/>
      <c r="N7" s="207"/>
      <c r="O7" s="245"/>
    </row>
    <row r="8" spans="1:15" ht="15" customHeight="1" x14ac:dyDescent="0.75">
      <c r="A8" s="224"/>
      <c r="B8" s="130" t="s">
        <v>229</v>
      </c>
      <c r="C8" s="58"/>
      <c r="D8" s="58"/>
      <c r="E8" s="58"/>
      <c r="F8" s="58"/>
      <c r="G8" s="58"/>
      <c r="H8" s="224"/>
      <c r="I8" s="224"/>
      <c r="J8" s="224"/>
      <c r="K8" s="244"/>
      <c r="L8" s="207"/>
      <c r="M8" s="207"/>
      <c r="N8" s="207"/>
      <c r="O8" s="245"/>
    </row>
    <row r="9" spans="1:15" ht="15" customHeight="1" x14ac:dyDescent="0.75">
      <c r="A9" s="213"/>
      <c r="B9" s="59" t="s">
        <v>230</v>
      </c>
      <c r="C9" s="60"/>
      <c r="D9" s="61">
        <v>20000</v>
      </c>
      <c r="E9" s="61">
        <v>100000</v>
      </c>
      <c r="F9" s="61">
        <v>200000</v>
      </c>
      <c r="G9" s="61">
        <v>300000</v>
      </c>
      <c r="H9" s="213"/>
      <c r="I9" s="213"/>
      <c r="J9" s="213"/>
      <c r="K9" s="246"/>
      <c r="L9" s="216"/>
      <c r="M9" s="216"/>
      <c r="N9" s="216"/>
      <c r="O9" s="247"/>
    </row>
    <row r="10" spans="1:15" ht="42.75" customHeight="1" x14ac:dyDescent="0.75">
      <c r="A10" s="258" t="s">
        <v>8</v>
      </c>
      <c r="B10" s="210"/>
      <c r="C10" s="210"/>
      <c r="D10" s="210"/>
      <c r="E10" s="210"/>
      <c r="F10" s="210"/>
      <c r="G10" s="211"/>
      <c r="H10" s="250" t="s">
        <v>5</v>
      </c>
      <c r="I10" s="210"/>
      <c r="J10" s="210"/>
      <c r="K10" s="210"/>
      <c r="L10" s="210"/>
      <c r="M10" s="210"/>
      <c r="N10" s="210"/>
      <c r="O10" s="211"/>
    </row>
    <row r="11" spans="1:15" ht="42.75" customHeight="1" x14ac:dyDescent="0.75">
      <c r="A11" s="258" t="s">
        <v>358</v>
      </c>
      <c r="B11" s="210"/>
      <c r="C11" s="210"/>
      <c r="D11" s="210"/>
      <c r="E11" s="210"/>
      <c r="F11" s="210"/>
      <c r="G11" s="211"/>
      <c r="H11" s="250" t="s">
        <v>11</v>
      </c>
      <c r="I11" s="210"/>
      <c r="J11" s="210"/>
      <c r="K11" s="210"/>
      <c r="L11" s="210"/>
      <c r="M11" s="210"/>
      <c r="N11" s="210"/>
      <c r="O11" s="211"/>
    </row>
    <row r="12" spans="1:15" ht="15.75" customHeight="1" x14ac:dyDescent="0.75">
      <c r="A12" s="301" t="s">
        <v>232</v>
      </c>
      <c r="B12" s="242"/>
      <c r="C12" s="243"/>
      <c r="D12" s="300" t="str">
        <f>A3</f>
        <v>IR1.1.1</v>
      </c>
      <c r="E12" s="242"/>
      <c r="F12" s="242"/>
      <c r="G12" s="242"/>
      <c r="H12" s="294" t="s">
        <v>359</v>
      </c>
      <c r="I12" s="242"/>
      <c r="J12" s="242"/>
      <c r="K12" s="242"/>
      <c r="L12" s="242"/>
      <c r="M12" s="242"/>
      <c r="N12" s="242"/>
      <c r="O12" s="295"/>
    </row>
    <row r="13" spans="1:15" ht="14.25" customHeight="1" x14ac:dyDescent="0.75">
      <c r="A13" s="307" t="s">
        <v>368</v>
      </c>
      <c r="B13" s="242"/>
      <c r="C13" s="242"/>
      <c r="D13" s="242"/>
      <c r="E13" s="242"/>
      <c r="F13" s="242"/>
      <c r="G13" s="243"/>
      <c r="H13" s="240" t="s">
        <v>360</v>
      </c>
      <c r="I13" s="210"/>
      <c r="J13" s="210"/>
      <c r="K13" s="210"/>
      <c r="L13" s="210"/>
      <c r="M13" s="210"/>
      <c r="N13" s="210"/>
      <c r="O13" s="211"/>
    </row>
    <row r="14" spans="1:15" ht="15" customHeight="1" x14ac:dyDescent="0.75">
      <c r="A14" s="308"/>
      <c r="B14" s="207"/>
      <c r="C14" s="207"/>
      <c r="D14" s="207"/>
      <c r="E14" s="207"/>
      <c r="F14" s="207"/>
      <c r="G14" s="245"/>
      <c r="H14" s="240" t="s">
        <v>236</v>
      </c>
      <c r="I14" s="211"/>
      <c r="J14" s="240" t="s">
        <v>237</v>
      </c>
      <c r="K14" s="211"/>
      <c r="L14" s="129" t="s">
        <v>238</v>
      </c>
      <c r="M14" s="240" t="s">
        <v>272</v>
      </c>
      <c r="N14" s="210"/>
      <c r="O14" s="211"/>
    </row>
    <row r="15" spans="1:15" ht="15.75" customHeight="1" x14ac:dyDescent="0.75">
      <c r="A15" s="308"/>
      <c r="B15" s="207"/>
      <c r="C15" s="207"/>
      <c r="D15" s="207"/>
      <c r="E15" s="207"/>
      <c r="F15" s="207"/>
      <c r="G15" s="245"/>
      <c r="H15" s="252" t="s">
        <v>240</v>
      </c>
      <c r="I15" s="211"/>
      <c r="J15" s="241"/>
      <c r="K15" s="211"/>
      <c r="L15" s="151" t="str">
        <f>IFERROR(J15/M15,"")</f>
        <v/>
      </c>
      <c r="M15" s="252"/>
      <c r="N15" s="210"/>
      <c r="O15" s="211"/>
    </row>
    <row r="16" spans="1:15" ht="15.75" customHeight="1" x14ac:dyDescent="0.75">
      <c r="A16" s="308"/>
      <c r="B16" s="207"/>
      <c r="C16" s="207"/>
      <c r="D16" s="207"/>
      <c r="E16" s="207"/>
      <c r="F16" s="207"/>
      <c r="G16" s="245"/>
      <c r="H16" s="252">
        <v>2024</v>
      </c>
      <c r="I16" s="211"/>
      <c r="J16" s="252"/>
      <c r="K16" s="211"/>
      <c r="L16" s="151">
        <f>IFERROR(J16/M16,"")</f>
        <v>0</v>
      </c>
      <c r="M16" s="269">
        <f>D9</f>
        <v>20000</v>
      </c>
      <c r="N16" s="210"/>
      <c r="O16" s="211"/>
    </row>
    <row r="17" spans="1:15" ht="15.75" customHeight="1" x14ac:dyDescent="0.75">
      <c r="A17" s="308"/>
      <c r="B17" s="207"/>
      <c r="C17" s="207"/>
      <c r="D17" s="207"/>
      <c r="E17" s="207"/>
      <c r="F17" s="207"/>
      <c r="G17" s="245"/>
      <c r="H17" s="252">
        <v>2025</v>
      </c>
      <c r="I17" s="211"/>
      <c r="J17" s="252"/>
      <c r="K17" s="211"/>
      <c r="L17" s="151">
        <f>IFERROR(J17/M17,"")</f>
        <v>0</v>
      </c>
      <c r="M17" s="269">
        <f>E9</f>
        <v>100000</v>
      </c>
      <c r="N17" s="210"/>
      <c r="O17" s="211"/>
    </row>
    <row r="18" spans="1:15" ht="15.75" customHeight="1" x14ac:dyDescent="0.75">
      <c r="A18" s="308"/>
      <c r="B18" s="207"/>
      <c r="C18" s="207"/>
      <c r="D18" s="207"/>
      <c r="E18" s="207"/>
      <c r="F18" s="207"/>
      <c r="G18" s="245"/>
      <c r="H18" s="252">
        <v>2026</v>
      </c>
      <c r="I18" s="211"/>
      <c r="J18" s="252"/>
      <c r="K18" s="211"/>
      <c r="L18" s="151">
        <f>IFERROR(J18/M18,"")</f>
        <v>0</v>
      </c>
      <c r="M18" s="310">
        <f>F9</f>
        <v>200000</v>
      </c>
      <c r="N18" s="210"/>
      <c r="O18" s="311"/>
    </row>
    <row r="19" spans="1:15" ht="15.75" customHeight="1" x14ac:dyDescent="0.75">
      <c r="A19" s="309"/>
      <c r="B19" s="216"/>
      <c r="C19" s="216"/>
      <c r="D19" s="216"/>
      <c r="E19" s="216"/>
      <c r="F19" s="216"/>
      <c r="G19" s="247"/>
      <c r="H19" s="252">
        <v>2027</v>
      </c>
      <c r="I19" s="211"/>
      <c r="J19" s="252"/>
      <c r="K19" s="211"/>
      <c r="L19" s="151">
        <f>IFERROR(J19/M19,"")</f>
        <v>0</v>
      </c>
      <c r="M19" s="269">
        <f>G9</f>
        <v>300000</v>
      </c>
      <c r="N19" s="210"/>
      <c r="O19" s="211"/>
    </row>
    <row r="20" spans="1:15" ht="40" customHeight="1" x14ac:dyDescent="0.75">
      <c r="A20" s="54" t="s">
        <v>302</v>
      </c>
      <c r="B20" s="256" t="s">
        <v>273</v>
      </c>
      <c r="C20" s="210"/>
      <c r="D20" s="210"/>
      <c r="E20" s="210"/>
      <c r="F20" s="210"/>
      <c r="G20" s="210"/>
      <c r="H20" s="210"/>
      <c r="I20" s="210"/>
      <c r="J20" s="210"/>
      <c r="K20" s="210"/>
      <c r="L20" s="210"/>
      <c r="M20" s="210"/>
      <c r="N20" s="210"/>
      <c r="O20" s="211"/>
    </row>
    <row r="21" spans="1:15" ht="40" customHeight="1" x14ac:dyDescent="0.75">
      <c r="A21" s="54" t="s">
        <v>242</v>
      </c>
      <c r="B21" s="256" t="s">
        <v>303</v>
      </c>
      <c r="C21" s="210"/>
      <c r="D21" s="210"/>
      <c r="E21" s="210"/>
      <c r="F21" s="210"/>
      <c r="G21" s="210"/>
      <c r="H21" s="210"/>
      <c r="I21" s="210"/>
      <c r="J21" s="210"/>
      <c r="K21" s="210"/>
      <c r="L21" s="210"/>
      <c r="M21" s="210"/>
      <c r="N21" s="210"/>
      <c r="O21" s="211"/>
    </row>
    <row r="22" spans="1:15" ht="40" customHeight="1" x14ac:dyDescent="0.75">
      <c r="A22" s="54" t="s">
        <v>243</v>
      </c>
      <c r="B22" s="256" t="s">
        <v>361</v>
      </c>
      <c r="C22" s="210"/>
      <c r="D22" s="210"/>
      <c r="E22" s="210"/>
      <c r="F22" s="210"/>
      <c r="G22" s="210"/>
      <c r="H22" s="210"/>
      <c r="I22" s="210"/>
      <c r="J22" s="210"/>
      <c r="K22" s="210"/>
      <c r="L22" s="210"/>
      <c r="M22" s="210"/>
      <c r="N22" s="210"/>
      <c r="O22" s="211"/>
    </row>
    <row r="23" spans="1:15" ht="40" customHeight="1" x14ac:dyDescent="0.75">
      <c r="A23" s="54" t="s">
        <v>276</v>
      </c>
      <c r="B23" s="256" t="s">
        <v>355</v>
      </c>
      <c r="C23" s="210"/>
      <c r="D23" s="210"/>
      <c r="E23" s="210"/>
      <c r="F23" s="210"/>
      <c r="G23" s="210"/>
      <c r="H23" s="210"/>
      <c r="I23" s="210"/>
      <c r="J23" s="210"/>
      <c r="K23" s="210"/>
      <c r="L23" s="210"/>
      <c r="M23" s="210"/>
      <c r="N23" s="210"/>
      <c r="O23" s="211"/>
    </row>
    <row r="24" spans="1:15" ht="40" customHeight="1" x14ac:dyDescent="0.75">
      <c r="A24" s="54" t="s">
        <v>278</v>
      </c>
      <c r="B24" s="267" t="s">
        <v>362</v>
      </c>
      <c r="C24" s="210"/>
      <c r="D24" s="210"/>
      <c r="E24" s="210"/>
      <c r="F24" s="210"/>
      <c r="G24" s="210"/>
      <c r="H24" s="210"/>
      <c r="I24" s="210"/>
      <c r="J24" s="210"/>
      <c r="K24" s="210"/>
      <c r="L24" s="210"/>
      <c r="M24" s="210"/>
      <c r="N24" s="210"/>
      <c r="O24" s="211"/>
    </row>
    <row r="25" spans="1:15" ht="40" customHeight="1" x14ac:dyDescent="0.75">
      <c r="A25" s="54" t="s">
        <v>306</v>
      </c>
      <c r="B25" s="267" t="s">
        <v>280</v>
      </c>
      <c r="C25" s="210"/>
      <c r="D25" s="210"/>
      <c r="E25" s="210"/>
      <c r="F25" s="210"/>
      <c r="G25" s="210"/>
      <c r="H25" s="210"/>
      <c r="I25" s="210"/>
      <c r="J25" s="210"/>
      <c r="K25" s="210"/>
      <c r="L25" s="210"/>
      <c r="M25" s="210"/>
      <c r="N25" s="210"/>
      <c r="O25" s="211"/>
    </row>
    <row r="26" spans="1:15" ht="40" customHeight="1" x14ac:dyDescent="0.75">
      <c r="A26" s="54" t="s">
        <v>251</v>
      </c>
      <c r="B26" s="267" t="s">
        <v>281</v>
      </c>
      <c r="C26" s="210"/>
      <c r="D26" s="210"/>
      <c r="E26" s="210"/>
      <c r="F26" s="210"/>
      <c r="G26" s="210"/>
      <c r="H26" s="210"/>
      <c r="I26" s="210"/>
      <c r="J26" s="210"/>
      <c r="K26" s="210"/>
      <c r="L26" s="210"/>
      <c r="M26" s="210"/>
      <c r="N26" s="210"/>
      <c r="O26" s="211"/>
    </row>
    <row r="27" spans="1:15" ht="40" customHeight="1" x14ac:dyDescent="0.75">
      <c r="A27" s="54" t="s">
        <v>253</v>
      </c>
      <c r="B27" s="267" t="s">
        <v>282</v>
      </c>
      <c r="C27" s="210"/>
      <c r="D27" s="210"/>
      <c r="E27" s="210"/>
      <c r="F27" s="210"/>
      <c r="G27" s="210"/>
      <c r="H27" s="210"/>
      <c r="I27" s="210"/>
      <c r="J27" s="210"/>
      <c r="K27" s="210"/>
      <c r="L27" s="210"/>
      <c r="M27" s="210"/>
      <c r="N27" s="210"/>
      <c r="O27" s="211"/>
    </row>
    <row r="28" spans="1:15" ht="40" customHeight="1" x14ac:dyDescent="0.75">
      <c r="A28" s="54" t="s">
        <v>283</v>
      </c>
      <c r="B28" s="259" t="s">
        <v>363</v>
      </c>
      <c r="C28" s="210"/>
      <c r="D28" s="210"/>
      <c r="E28" s="210"/>
      <c r="F28" s="210"/>
      <c r="G28" s="210"/>
      <c r="H28" s="210"/>
      <c r="I28" s="210"/>
      <c r="J28" s="210"/>
      <c r="K28" s="210"/>
      <c r="L28" s="210"/>
      <c r="M28" s="210"/>
      <c r="N28" s="210"/>
      <c r="O28" s="211"/>
    </row>
    <row r="29" spans="1:15" ht="40" customHeight="1" x14ac:dyDescent="0.75">
      <c r="A29" s="54" t="s">
        <v>257</v>
      </c>
      <c r="B29" s="256" t="s">
        <v>364</v>
      </c>
      <c r="C29" s="210"/>
      <c r="D29" s="210"/>
      <c r="E29" s="210"/>
      <c r="F29" s="210"/>
      <c r="G29" s="210"/>
      <c r="H29" s="210"/>
      <c r="I29" s="210"/>
      <c r="J29" s="210"/>
      <c r="K29" s="210"/>
      <c r="L29" s="210"/>
      <c r="M29" s="210"/>
      <c r="N29" s="210"/>
      <c r="O29" s="211"/>
    </row>
    <row r="30" spans="1:15" ht="28" customHeight="1" x14ac:dyDescent="0.75">
      <c r="A30" s="54" t="s">
        <v>258</v>
      </c>
      <c r="B30" s="259" t="s">
        <v>356</v>
      </c>
      <c r="C30" s="210"/>
      <c r="D30" s="210"/>
      <c r="E30" s="210"/>
      <c r="F30" s="210"/>
      <c r="G30" s="210"/>
      <c r="H30" s="210"/>
      <c r="I30" s="210"/>
      <c r="J30" s="210"/>
      <c r="K30" s="210"/>
      <c r="L30" s="210"/>
      <c r="M30" s="210"/>
      <c r="N30" s="210"/>
      <c r="O30" s="211"/>
    </row>
    <row r="31" spans="1:15" ht="40" customHeight="1" x14ac:dyDescent="0.75">
      <c r="A31" s="54" t="s">
        <v>259</v>
      </c>
      <c r="B31" s="256" t="s">
        <v>260</v>
      </c>
      <c r="C31" s="210"/>
      <c r="D31" s="210"/>
      <c r="E31" s="210"/>
      <c r="F31" s="210"/>
      <c r="G31" s="210"/>
      <c r="H31" s="210"/>
      <c r="I31" s="210"/>
      <c r="J31" s="210"/>
      <c r="K31" s="210"/>
      <c r="L31" s="210"/>
      <c r="M31" s="210"/>
      <c r="N31" s="210"/>
      <c r="O31" s="211"/>
    </row>
    <row r="32" spans="1:15" ht="28" customHeight="1" x14ac:dyDescent="0.75">
      <c r="A32" s="54" t="s">
        <v>261</v>
      </c>
      <c r="B32" s="259" t="s">
        <v>365</v>
      </c>
      <c r="C32" s="210"/>
      <c r="D32" s="210"/>
      <c r="E32" s="210"/>
      <c r="F32" s="210"/>
      <c r="G32" s="210"/>
      <c r="H32" s="210"/>
      <c r="I32" s="210"/>
      <c r="J32" s="210"/>
      <c r="K32" s="210"/>
      <c r="L32" s="210"/>
      <c r="M32" s="210"/>
      <c r="N32" s="210"/>
      <c r="O32" s="211"/>
    </row>
    <row r="33" spans="1:15" ht="68" customHeight="1" x14ac:dyDescent="0.75">
      <c r="A33" s="55" t="s">
        <v>314</v>
      </c>
      <c r="B33" s="271" t="s">
        <v>366</v>
      </c>
      <c r="C33" s="210"/>
      <c r="D33" s="210"/>
      <c r="E33" s="210"/>
      <c r="F33" s="210"/>
      <c r="G33" s="210"/>
      <c r="H33" s="210"/>
      <c r="I33" s="210"/>
      <c r="J33" s="210"/>
      <c r="K33" s="210"/>
      <c r="L33" s="210"/>
      <c r="M33" s="210"/>
      <c r="N33" s="210"/>
      <c r="O33" s="211"/>
    </row>
  </sheetData>
  <mergeCells count="56">
    <mergeCell ref="A1:O1"/>
    <mergeCell ref="B20:O20"/>
    <mergeCell ref="H14:I14"/>
    <mergeCell ref="B32:O32"/>
    <mergeCell ref="J17:K17"/>
    <mergeCell ref="B30:O30"/>
    <mergeCell ref="B24:O24"/>
    <mergeCell ref="H15:I15"/>
    <mergeCell ref="H18:I18"/>
    <mergeCell ref="A12:C12"/>
    <mergeCell ref="B31:O31"/>
    <mergeCell ref="M16:O16"/>
    <mergeCell ref="B22:O22"/>
    <mergeCell ref="A10:G10"/>
    <mergeCell ref="M15:O15"/>
    <mergeCell ref="B27:O27"/>
    <mergeCell ref="B33:O33"/>
    <mergeCell ref="J18:K18"/>
    <mergeCell ref="H11:O11"/>
    <mergeCell ref="J16:K16"/>
    <mergeCell ref="C2:G2"/>
    <mergeCell ref="B29:O29"/>
    <mergeCell ref="K2:O2"/>
    <mergeCell ref="H3:H4"/>
    <mergeCell ref="H5:H9"/>
    <mergeCell ref="H19:I19"/>
    <mergeCell ref="J3:J4"/>
    <mergeCell ref="B28:O28"/>
    <mergeCell ref="H13:O13"/>
    <mergeCell ref="H12:O12"/>
    <mergeCell ref="C3:C4"/>
    <mergeCell ref="H2:J2"/>
    <mergeCell ref="B21:O21"/>
    <mergeCell ref="A13:G19"/>
    <mergeCell ref="M18:O18"/>
    <mergeCell ref="J15:K15"/>
    <mergeCell ref="I3:I4"/>
    <mergeCell ref="M17:O17"/>
    <mergeCell ref="M19:O19"/>
    <mergeCell ref="H16:I16"/>
    <mergeCell ref="B23:O23"/>
    <mergeCell ref="A11:G11"/>
    <mergeCell ref="B26:O26"/>
    <mergeCell ref="D3:G3"/>
    <mergeCell ref="I5:I9"/>
    <mergeCell ref="D12:G12"/>
    <mergeCell ref="A3:A9"/>
    <mergeCell ref="J14:K14"/>
    <mergeCell ref="B3:B4"/>
    <mergeCell ref="K3:O9"/>
    <mergeCell ref="B25:O25"/>
    <mergeCell ref="J19:K19"/>
    <mergeCell ref="H10:O10"/>
    <mergeCell ref="H17:I17"/>
    <mergeCell ref="M14:O14"/>
    <mergeCell ref="J5:J9"/>
  </mergeCells>
  <printOptions horizontalCentered="1"/>
  <pageMargins left="0.7" right="0.7" top="0.75" bottom="0.75" header="0.511811023622047" footer="0.511811023622047"/>
  <pageSetup paperSize="9" scale="50"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3"/>
  <sheetViews>
    <sheetView topLeftCell="A15" zoomScale="70" zoomScaleNormal="70" workbookViewId="0">
      <selection activeCell="B21" sqref="B21:O21"/>
    </sheetView>
  </sheetViews>
  <sheetFormatPr baseColWidth="10" defaultColWidth="11.453125" defaultRowHeight="14.75" x14ac:dyDescent="0.75"/>
  <cols>
    <col min="1" max="1" width="32.76953125" style="124" customWidth="1"/>
    <col min="2" max="2" width="15.2265625" style="124" customWidth="1"/>
    <col min="3" max="3" width="13" style="124" customWidth="1"/>
    <col min="4" max="5" width="10" style="124" customWidth="1"/>
    <col min="6" max="7" width="13" style="124" customWidth="1"/>
    <col min="8" max="8" width="16.76953125" style="124" customWidth="1"/>
    <col min="11" max="11" width="2.76953125" style="124" customWidth="1"/>
    <col min="15" max="15" width="7.2265625" style="124" customWidth="1"/>
  </cols>
  <sheetData>
    <row r="1" spans="1:15" ht="18" customHeight="1" x14ac:dyDescent="0.75">
      <c r="A1" s="272" t="s">
        <v>370</v>
      </c>
      <c r="B1" s="207"/>
      <c r="C1" s="207"/>
      <c r="D1" s="207"/>
      <c r="E1" s="207"/>
      <c r="F1" s="207"/>
      <c r="G1" s="207"/>
      <c r="H1" s="207"/>
      <c r="I1" s="207"/>
      <c r="J1" s="207"/>
      <c r="K1" s="207"/>
      <c r="L1" s="207"/>
      <c r="M1" s="207"/>
      <c r="N1" s="207"/>
      <c r="O1" s="207"/>
    </row>
    <row r="2" spans="1:15" ht="26.25" customHeight="1" x14ac:dyDescent="0.75">
      <c r="A2" s="126" t="s">
        <v>214</v>
      </c>
      <c r="B2" s="126" t="s">
        <v>215</v>
      </c>
      <c r="C2" s="261" t="s">
        <v>216</v>
      </c>
      <c r="D2" s="210"/>
      <c r="E2" s="210"/>
      <c r="F2" s="210"/>
      <c r="G2" s="211"/>
      <c r="H2" s="264" t="s">
        <v>217</v>
      </c>
      <c r="I2" s="210"/>
      <c r="J2" s="211"/>
      <c r="K2" s="261" t="s">
        <v>218</v>
      </c>
      <c r="L2" s="210"/>
      <c r="M2" s="210"/>
      <c r="N2" s="210"/>
      <c r="O2" s="211"/>
    </row>
    <row r="3" spans="1:15" ht="14.25" customHeight="1" x14ac:dyDescent="0.75">
      <c r="A3" s="240" t="s">
        <v>354</v>
      </c>
      <c r="B3" s="240"/>
      <c r="C3" s="254" t="s">
        <v>219</v>
      </c>
      <c r="D3" s="240" t="s">
        <v>220</v>
      </c>
      <c r="E3" s="210"/>
      <c r="F3" s="210"/>
      <c r="G3" s="211"/>
      <c r="H3" s="254" t="s">
        <v>38</v>
      </c>
      <c r="I3" s="254" t="s">
        <v>221</v>
      </c>
      <c r="J3" s="254" t="s">
        <v>222</v>
      </c>
      <c r="K3" s="250" t="s">
        <v>355</v>
      </c>
      <c r="L3" s="242"/>
      <c r="M3" s="242"/>
      <c r="N3" s="242"/>
      <c r="O3" s="243"/>
    </row>
    <row r="4" spans="1:15" ht="23.2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57"/>
      <c r="D5" s="57"/>
      <c r="E5" s="57"/>
      <c r="F5" s="57"/>
      <c r="G5" s="57"/>
      <c r="H5" s="262" t="s">
        <v>356</v>
      </c>
      <c r="I5" s="241" t="s">
        <v>357</v>
      </c>
      <c r="J5" s="241" t="s">
        <v>46</v>
      </c>
      <c r="K5" s="244"/>
      <c r="L5" s="207"/>
      <c r="M5" s="207"/>
      <c r="N5" s="207"/>
      <c r="O5" s="245"/>
    </row>
    <row r="6" spans="1:15" ht="15" customHeight="1" x14ac:dyDescent="0.75">
      <c r="A6" s="224"/>
      <c r="B6" s="130" t="s">
        <v>227</v>
      </c>
      <c r="C6" s="57"/>
      <c r="D6" s="57"/>
      <c r="E6" s="57"/>
      <c r="F6" s="57"/>
      <c r="G6" s="57"/>
      <c r="H6" s="224"/>
      <c r="I6" s="224"/>
      <c r="J6" s="224"/>
      <c r="K6" s="244"/>
      <c r="L6" s="207"/>
      <c r="M6" s="207"/>
      <c r="N6" s="207"/>
      <c r="O6" s="245"/>
    </row>
    <row r="7" spans="1:15" ht="15" customHeight="1" x14ac:dyDescent="0.75">
      <c r="A7" s="224"/>
      <c r="B7" s="130" t="s">
        <v>228</v>
      </c>
      <c r="C7" s="58"/>
      <c r="D7" s="58"/>
      <c r="E7" s="58"/>
      <c r="F7" s="58"/>
      <c r="G7" s="58"/>
      <c r="H7" s="224"/>
      <c r="I7" s="224"/>
      <c r="J7" s="224"/>
      <c r="K7" s="244"/>
      <c r="L7" s="207"/>
      <c r="M7" s="207"/>
      <c r="N7" s="207"/>
      <c r="O7" s="245"/>
    </row>
    <row r="8" spans="1:15" ht="15" customHeight="1" x14ac:dyDescent="0.75">
      <c r="A8" s="224"/>
      <c r="B8" s="130" t="s">
        <v>229</v>
      </c>
      <c r="C8" s="58"/>
      <c r="D8" s="58"/>
      <c r="E8" s="58"/>
      <c r="F8" s="58"/>
      <c r="G8" s="58"/>
      <c r="H8" s="224"/>
      <c r="I8" s="224"/>
      <c r="J8" s="224"/>
      <c r="K8" s="244"/>
      <c r="L8" s="207"/>
      <c r="M8" s="207"/>
      <c r="N8" s="207"/>
      <c r="O8" s="245"/>
    </row>
    <row r="9" spans="1:15" ht="15" customHeight="1" x14ac:dyDescent="0.75">
      <c r="A9" s="213"/>
      <c r="B9" s="59" t="s">
        <v>230</v>
      </c>
      <c r="C9" s="60"/>
      <c r="D9" s="61">
        <v>20000</v>
      </c>
      <c r="E9" s="61">
        <v>100000</v>
      </c>
      <c r="F9" s="61">
        <v>200000</v>
      </c>
      <c r="G9" s="61">
        <v>300000</v>
      </c>
      <c r="H9" s="213"/>
      <c r="I9" s="213"/>
      <c r="J9" s="213"/>
      <c r="K9" s="246"/>
      <c r="L9" s="216"/>
      <c r="M9" s="216"/>
      <c r="N9" s="216"/>
      <c r="O9" s="247"/>
    </row>
    <row r="10" spans="1:15" ht="42.75" customHeight="1" x14ac:dyDescent="0.75">
      <c r="A10" s="258" t="s">
        <v>8</v>
      </c>
      <c r="B10" s="210"/>
      <c r="C10" s="210"/>
      <c r="D10" s="210"/>
      <c r="E10" s="210"/>
      <c r="F10" s="210"/>
      <c r="G10" s="211"/>
      <c r="H10" s="250" t="s">
        <v>5</v>
      </c>
      <c r="I10" s="210"/>
      <c r="J10" s="210"/>
      <c r="K10" s="210"/>
      <c r="L10" s="210"/>
      <c r="M10" s="210"/>
      <c r="N10" s="210"/>
      <c r="O10" s="211"/>
    </row>
    <row r="11" spans="1:15" ht="42.75" customHeight="1" x14ac:dyDescent="0.75">
      <c r="A11" s="258" t="s">
        <v>358</v>
      </c>
      <c r="B11" s="210"/>
      <c r="C11" s="210"/>
      <c r="D11" s="210"/>
      <c r="E11" s="210"/>
      <c r="F11" s="210"/>
      <c r="G11" s="211"/>
      <c r="H11" s="250" t="s">
        <v>11</v>
      </c>
      <c r="I11" s="210"/>
      <c r="J11" s="210"/>
      <c r="K11" s="210"/>
      <c r="L11" s="210"/>
      <c r="M11" s="210"/>
      <c r="N11" s="210"/>
      <c r="O11" s="211"/>
    </row>
    <row r="12" spans="1:15" ht="15.75" customHeight="1" x14ac:dyDescent="0.75">
      <c r="A12" s="301" t="s">
        <v>232</v>
      </c>
      <c r="B12" s="242"/>
      <c r="C12" s="243"/>
      <c r="D12" s="300" t="str">
        <f>A3</f>
        <v>IR1.1.1</v>
      </c>
      <c r="E12" s="242"/>
      <c r="F12" s="242"/>
      <c r="G12" s="242"/>
      <c r="H12" s="294" t="s">
        <v>369</v>
      </c>
      <c r="I12" s="242"/>
      <c r="J12" s="242"/>
      <c r="K12" s="242"/>
      <c r="L12" s="242"/>
      <c r="M12" s="242"/>
      <c r="N12" s="242"/>
      <c r="O12" s="295"/>
    </row>
    <row r="13" spans="1:15" ht="14.25" customHeight="1" x14ac:dyDescent="0.75">
      <c r="A13" s="307" t="s">
        <v>371</v>
      </c>
      <c r="B13" s="242"/>
      <c r="C13" s="242"/>
      <c r="D13" s="242"/>
      <c r="E13" s="242"/>
      <c r="F13" s="242"/>
      <c r="G13" s="243"/>
      <c r="H13" s="240" t="s">
        <v>360</v>
      </c>
      <c r="I13" s="210"/>
      <c r="J13" s="210"/>
      <c r="K13" s="210"/>
      <c r="L13" s="210"/>
      <c r="M13" s="210"/>
      <c r="N13" s="210"/>
      <c r="O13" s="211"/>
    </row>
    <row r="14" spans="1:15" ht="15" customHeight="1" x14ac:dyDescent="0.75">
      <c r="A14" s="308"/>
      <c r="B14" s="207"/>
      <c r="C14" s="207"/>
      <c r="D14" s="207"/>
      <c r="E14" s="207"/>
      <c r="F14" s="207"/>
      <c r="G14" s="245"/>
      <c r="H14" s="240" t="s">
        <v>236</v>
      </c>
      <c r="I14" s="211"/>
      <c r="J14" s="240" t="s">
        <v>237</v>
      </c>
      <c r="K14" s="211"/>
      <c r="L14" s="129" t="s">
        <v>238</v>
      </c>
      <c r="M14" s="240" t="s">
        <v>272</v>
      </c>
      <c r="N14" s="210"/>
      <c r="O14" s="211"/>
    </row>
    <row r="15" spans="1:15" ht="15.75" customHeight="1" x14ac:dyDescent="0.75">
      <c r="A15" s="308"/>
      <c r="B15" s="207"/>
      <c r="C15" s="207"/>
      <c r="D15" s="207"/>
      <c r="E15" s="207"/>
      <c r="F15" s="207"/>
      <c r="G15" s="245"/>
      <c r="H15" s="252" t="s">
        <v>240</v>
      </c>
      <c r="I15" s="211"/>
      <c r="J15" s="241"/>
      <c r="K15" s="211"/>
      <c r="L15" s="151" t="str">
        <f>IFERROR(J15/M15,"")</f>
        <v/>
      </c>
      <c r="M15" s="252"/>
      <c r="N15" s="210"/>
      <c r="O15" s="211"/>
    </row>
    <row r="16" spans="1:15" ht="15.75" customHeight="1" x14ac:dyDescent="0.75">
      <c r="A16" s="308"/>
      <c r="B16" s="207"/>
      <c r="C16" s="207"/>
      <c r="D16" s="207"/>
      <c r="E16" s="207"/>
      <c r="F16" s="207"/>
      <c r="G16" s="245"/>
      <c r="H16" s="252">
        <v>2024</v>
      </c>
      <c r="I16" s="211"/>
      <c r="J16" s="252"/>
      <c r="K16" s="211"/>
      <c r="L16" s="151">
        <f>IFERROR(J16/M16,"")</f>
        <v>0</v>
      </c>
      <c r="M16" s="269">
        <f>D9</f>
        <v>20000</v>
      </c>
      <c r="N16" s="210"/>
      <c r="O16" s="211"/>
    </row>
    <row r="17" spans="1:15" ht="15.75" customHeight="1" x14ac:dyDescent="0.75">
      <c r="A17" s="308"/>
      <c r="B17" s="207"/>
      <c r="C17" s="207"/>
      <c r="D17" s="207"/>
      <c r="E17" s="207"/>
      <c r="F17" s="207"/>
      <c r="G17" s="245"/>
      <c r="H17" s="252">
        <v>2025</v>
      </c>
      <c r="I17" s="211"/>
      <c r="J17" s="252"/>
      <c r="K17" s="211"/>
      <c r="L17" s="151">
        <f>IFERROR(J17/M17,"")</f>
        <v>0</v>
      </c>
      <c r="M17" s="269">
        <f>E9</f>
        <v>100000</v>
      </c>
      <c r="N17" s="210"/>
      <c r="O17" s="211"/>
    </row>
    <row r="18" spans="1:15" ht="15.75" customHeight="1" x14ac:dyDescent="0.75">
      <c r="A18" s="308"/>
      <c r="B18" s="207"/>
      <c r="C18" s="207"/>
      <c r="D18" s="207"/>
      <c r="E18" s="207"/>
      <c r="F18" s="207"/>
      <c r="G18" s="245"/>
      <c r="H18" s="252">
        <v>2026</v>
      </c>
      <c r="I18" s="211"/>
      <c r="J18" s="252"/>
      <c r="K18" s="211"/>
      <c r="L18" s="151">
        <f>IFERROR(J18/M18,"")</f>
        <v>0</v>
      </c>
      <c r="M18" s="310">
        <f>F9</f>
        <v>200000</v>
      </c>
      <c r="N18" s="210"/>
      <c r="O18" s="311"/>
    </row>
    <row r="19" spans="1:15" ht="15.75" customHeight="1" x14ac:dyDescent="0.75">
      <c r="A19" s="309"/>
      <c r="B19" s="216"/>
      <c r="C19" s="216"/>
      <c r="D19" s="216"/>
      <c r="E19" s="216"/>
      <c r="F19" s="216"/>
      <c r="G19" s="247"/>
      <c r="H19" s="252">
        <v>2027</v>
      </c>
      <c r="I19" s="211"/>
      <c r="J19" s="252"/>
      <c r="K19" s="211"/>
      <c r="L19" s="151">
        <f>IFERROR(J19/M19,"")</f>
        <v>0</v>
      </c>
      <c r="M19" s="269">
        <f>G9</f>
        <v>300000</v>
      </c>
      <c r="N19" s="210"/>
      <c r="O19" s="211"/>
    </row>
    <row r="20" spans="1:15" ht="28" customHeight="1" x14ac:dyDescent="0.75">
      <c r="A20" s="54" t="s">
        <v>302</v>
      </c>
      <c r="B20" s="256" t="s">
        <v>273</v>
      </c>
      <c r="C20" s="210"/>
      <c r="D20" s="210"/>
      <c r="E20" s="210"/>
      <c r="F20" s="210"/>
      <c r="G20" s="210"/>
      <c r="H20" s="210"/>
      <c r="I20" s="210"/>
      <c r="J20" s="210"/>
      <c r="K20" s="210"/>
      <c r="L20" s="210"/>
      <c r="M20" s="210"/>
      <c r="N20" s="210"/>
      <c r="O20" s="211"/>
    </row>
    <row r="21" spans="1:15" ht="28" customHeight="1" x14ac:dyDescent="0.75">
      <c r="A21" s="54" t="s">
        <v>242</v>
      </c>
      <c r="B21" s="256" t="s">
        <v>303</v>
      </c>
      <c r="C21" s="210"/>
      <c r="D21" s="210"/>
      <c r="E21" s="210"/>
      <c r="F21" s="210"/>
      <c r="G21" s="210"/>
      <c r="H21" s="210"/>
      <c r="I21" s="210"/>
      <c r="J21" s="210"/>
      <c r="K21" s="210"/>
      <c r="L21" s="210"/>
      <c r="M21" s="210"/>
      <c r="N21" s="210"/>
      <c r="O21" s="211"/>
    </row>
    <row r="22" spans="1:15" ht="40" customHeight="1" x14ac:dyDescent="0.75">
      <c r="A22" s="54" t="s">
        <v>243</v>
      </c>
      <c r="B22" s="256" t="s">
        <v>361</v>
      </c>
      <c r="C22" s="210"/>
      <c r="D22" s="210"/>
      <c r="E22" s="210"/>
      <c r="F22" s="210"/>
      <c r="G22" s="210"/>
      <c r="H22" s="210"/>
      <c r="I22" s="210"/>
      <c r="J22" s="210"/>
      <c r="K22" s="210"/>
      <c r="L22" s="210"/>
      <c r="M22" s="210"/>
      <c r="N22" s="210"/>
      <c r="O22" s="211"/>
    </row>
    <row r="23" spans="1:15" ht="40" customHeight="1" x14ac:dyDescent="0.75">
      <c r="A23" s="54" t="s">
        <v>276</v>
      </c>
      <c r="B23" s="256" t="s">
        <v>355</v>
      </c>
      <c r="C23" s="210"/>
      <c r="D23" s="210"/>
      <c r="E23" s="210"/>
      <c r="F23" s="210"/>
      <c r="G23" s="210"/>
      <c r="H23" s="210"/>
      <c r="I23" s="210"/>
      <c r="J23" s="210"/>
      <c r="K23" s="210"/>
      <c r="L23" s="210"/>
      <c r="M23" s="210"/>
      <c r="N23" s="210"/>
      <c r="O23" s="211"/>
    </row>
    <row r="24" spans="1:15" ht="28" customHeight="1" x14ac:dyDescent="0.75">
      <c r="A24" s="54" t="s">
        <v>278</v>
      </c>
      <c r="B24" s="267" t="s">
        <v>362</v>
      </c>
      <c r="C24" s="210"/>
      <c r="D24" s="210"/>
      <c r="E24" s="210"/>
      <c r="F24" s="210"/>
      <c r="G24" s="210"/>
      <c r="H24" s="210"/>
      <c r="I24" s="210"/>
      <c r="J24" s="210"/>
      <c r="K24" s="210"/>
      <c r="L24" s="210"/>
      <c r="M24" s="210"/>
      <c r="N24" s="210"/>
      <c r="O24" s="211"/>
    </row>
    <row r="25" spans="1:15" ht="40" customHeight="1" x14ac:dyDescent="0.75">
      <c r="A25" s="54" t="s">
        <v>306</v>
      </c>
      <c r="B25" s="267" t="s">
        <v>280</v>
      </c>
      <c r="C25" s="210"/>
      <c r="D25" s="210"/>
      <c r="E25" s="210"/>
      <c r="F25" s="210"/>
      <c r="G25" s="210"/>
      <c r="H25" s="210"/>
      <c r="I25" s="210"/>
      <c r="J25" s="210"/>
      <c r="K25" s="210"/>
      <c r="L25" s="210"/>
      <c r="M25" s="210"/>
      <c r="N25" s="210"/>
      <c r="O25" s="211"/>
    </row>
    <row r="26" spans="1:15" ht="28" customHeight="1" x14ac:dyDescent="0.75">
      <c r="A26" s="54" t="s">
        <v>251</v>
      </c>
      <c r="B26" s="267" t="s">
        <v>281</v>
      </c>
      <c r="C26" s="210"/>
      <c r="D26" s="210"/>
      <c r="E26" s="210"/>
      <c r="F26" s="210"/>
      <c r="G26" s="210"/>
      <c r="H26" s="210"/>
      <c r="I26" s="210"/>
      <c r="J26" s="210"/>
      <c r="K26" s="210"/>
      <c r="L26" s="210"/>
      <c r="M26" s="210"/>
      <c r="N26" s="210"/>
      <c r="O26" s="211"/>
    </row>
    <row r="27" spans="1:15" ht="40" customHeight="1" x14ac:dyDescent="0.75">
      <c r="A27" s="54" t="s">
        <v>253</v>
      </c>
      <c r="B27" s="267" t="s">
        <v>282</v>
      </c>
      <c r="C27" s="210"/>
      <c r="D27" s="210"/>
      <c r="E27" s="210"/>
      <c r="F27" s="210"/>
      <c r="G27" s="210"/>
      <c r="H27" s="210"/>
      <c r="I27" s="210"/>
      <c r="J27" s="210"/>
      <c r="K27" s="210"/>
      <c r="L27" s="210"/>
      <c r="M27" s="210"/>
      <c r="N27" s="210"/>
      <c r="O27" s="211"/>
    </row>
    <row r="28" spans="1:15" ht="28" customHeight="1" x14ac:dyDescent="0.75">
      <c r="A28" s="54" t="s">
        <v>283</v>
      </c>
      <c r="B28" s="259" t="s">
        <v>363</v>
      </c>
      <c r="C28" s="210"/>
      <c r="D28" s="210"/>
      <c r="E28" s="210"/>
      <c r="F28" s="210"/>
      <c r="G28" s="210"/>
      <c r="H28" s="210"/>
      <c r="I28" s="210"/>
      <c r="J28" s="210"/>
      <c r="K28" s="210"/>
      <c r="L28" s="210"/>
      <c r="M28" s="210"/>
      <c r="N28" s="210"/>
      <c r="O28" s="211"/>
    </row>
    <row r="29" spans="1:15" ht="28" customHeight="1" x14ac:dyDescent="0.75">
      <c r="A29" s="54" t="s">
        <v>257</v>
      </c>
      <c r="B29" s="256" t="s">
        <v>364</v>
      </c>
      <c r="C29" s="210"/>
      <c r="D29" s="210"/>
      <c r="E29" s="210"/>
      <c r="F29" s="210"/>
      <c r="G29" s="210"/>
      <c r="H29" s="210"/>
      <c r="I29" s="210"/>
      <c r="J29" s="210"/>
      <c r="K29" s="210"/>
      <c r="L29" s="210"/>
      <c r="M29" s="210"/>
      <c r="N29" s="210"/>
      <c r="O29" s="211"/>
    </row>
    <row r="30" spans="1:15" ht="28" customHeight="1" x14ac:dyDescent="0.75">
      <c r="A30" s="54" t="s">
        <v>258</v>
      </c>
      <c r="B30" s="259" t="s">
        <v>356</v>
      </c>
      <c r="C30" s="210"/>
      <c r="D30" s="210"/>
      <c r="E30" s="210"/>
      <c r="F30" s="210"/>
      <c r="G30" s="210"/>
      <c r="H30" s="210"/>
      <c r="I30" s="210"/>
      <c r="J30" s="210"/>
      <c r="K30" s="210"/>
      <c r="L30" s="210"/>
      <c r="M30" s="210"/>
      <c r="N30" s="210"/>
      <c r="O30" s="211"/>
    </row>
    <row r="31" spans="1:15" ht="28" customHeight="1" x14ac:dyDescent="0.75">
      <c r="A31" s="54" t="s">
        <v>259</v>
      </c>
      <c r="B31" s="256" t="s">
        <v>260</v>
      </c>
      <c r="C31" s="210"/>
      <c r="D31" s="210"/>
      <c r="E31" s="210"/>
      <c r="F31" s="210"/>
      <c r="G31" s="210"/>
      <c r="H31" s="210"/>
      <c r="I31" s="210"/>
      <c r="J31" s="210"/>
      <c r="K31" s="210"/>
      <c r="L31" s="210"/>
      <c r="M31" s="210"/>
      <c r="N31" s="210"/>
      <c r="O31" s="211"/>
    </row>
    <row r="32" spans="1:15" ht="28" customHeight="1" x14ac:dyDescent="0.75">
      <c r="A32" s="54" t="s">
        <v>261</v>
      </c>
      <c r="B32" s="259" t="s">
        <v>365</v>
      </c>
      <c r="C32" s="210"/>
      <c r="D32" s="210"/>
      <c r="E32" s="210"/>
      <c r="F32" s="210"/>
      <c r="G32" s="210"/>
      <c r="H32" s="210"/>
      <c r="I32" s="210"/>
      <c r="J32" s="210"/>
      <c r="K32" s="210"/>
      <c r="L32" s="210"/>
      <c r="M32" s="210"/>
      <c r="N32" s="210"/>
      <c r="O32" s="211"/>
    </row>
    <row r="33" spans="1:15" ht="54" customHeight="1" x14ac:dyDescent="0.75">
      <c r="A33" s="55" t="s">
        <v>314</v>
      </c>
      <c r="B33" s="271" t="s">
        <v>366</v>
      </c>
      <c r="C33" s="210"/>
      <c r="D33" s="210"/>
      <c r="E33" s="210"/>
      <c r="F33" s="210"/>
      <c r="G33" s="210"/>
      <c r="H33" s="210"/>
      <c r="I33" s="210"/>
      <c r="J33" s="210"/>
      <c r="K33" s="210"/>
      <c r="L33" s="210"/>
      <c r="M33" s="210"/>
      <c r="N33" s="210"/>
      <c r="O33" s="211"/>
    </row>
  </sheetData>
  <mergeCells count="56">
    <mergeCell ref="B33:O33"/>
    <mergeCell ref="A1:O1"/>
    <mergeCell ref="J18:K18"/>
    <mergeCell ref="B20:O20"/>
    <mergeCell ref="H14:I14"/>
    <mergeCell ref="B32:O32"/>
    <mergeCell ref="J17:K17"/>
    <mergeCell ref="B29:O29"/>
    <mergeCell ref="J3:J4"/>
    <mergeCell ref="H19:I19"/>
    <mergeCell ref="B28:O28"/>
    <mergeCell ref="H13:O13"/>
    <mergeCell ref="H12:O12"/>
    <mergeCell ref="C3:C4"/>
    <mergeCell ref="B24:O24"/>
    <mergeCell ref="C2:G2"/>
    <mergeCell ref="J16:K16"/>
    <mergeCell ref="K2:O2"/>
    <mergeCell ref="H3:H4"/>
    <mergeCell ref="H5:H9"/>
    <mergeCell ref="H2:J2"/>
    <mergeCell ref="M16:O16"/>
    <mergeCell ref="I3:I4"/>
    <mergeCell ref="H15:I15"/>
    <mergeCell ref="H18:I18"/>
    <mergeCell ref="B31:O31"/>
    <mergeCell ref="A12:C12"/>
    <mergeCell ref="B22:O22"/>
    <mergeCell ref="A10:G10"/>
    <mergeCell ref="M15:O15"/>
    <mergeCell ref="B27:O27"/>
    <mergeCell ref="B21:O21"/>
    <mergeCell ref="A13:G19"/>
    <mergeCell ref="M18:O18"/>
    <mergeCell ref="J15:K15"/>
    <mergeCell ref="M17:O17"/>
    <mergeCell ref="B23:O23"/>
    <mergeCell ref="A11:G11"/>
    <mergeCell ref="B26:O26"/>
    <mergeCell ref="B30:O30"/>
    <mergeCell ref="A3:A9"/>
    <mergeCell ref="B3:B4"/>
    <mergeCell ref="J14:K14"/>
    <mergeCell ref="B25:O25"/>
    <mergeCell ref="J19:K19"/>
    <mergeCell ref="H10:O10"/>
    <mergeCell ref="H17:I17"/>
    <mergeCell ref="M14:O14"/>
    <mergeCell ref="J5:J9"/>
    <mergeCell ref="M19:O19"/>
    <mergeCell ref="H16:I16"/>
    <mergeCell ref="H11:O11"/>
    <mergeCell ref="D3:G3"/>
    <mergeCell ref="I5:I9"/>
    <mergeCell ref="D12:G12"/>
    <mergeCell ref="K3:O9"/>
  </mergeCells>
  <printOptions horizontalCentered="1"/>
  <pageMargins left="0.7" right="0.7" top="0.75" bottom="0.75" header="0.511811023622047" footer="0.511811023622047"/>
  <pageSetup paperSize="9" scale="50"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3"/>
  <sheetViews>
    <sheetView topLeftCell="A3" zoomScale="42" zoomScaleNormal="70" workbookViewId="0">
      <selection activeCell="P25" sqref="P25"/>
    </sheetView>
  </sheetViews>
  <sheetFormatPr baseColWidth="10" defaultColWidth="11.453125" defaultRowHeight="14.75" x14ac:dyDescent="0.75"/>
  <cols>
    <col min="1" max="1" width="30" style="124" customWidth="1"/>
    <col min="2" max="2" width="15.2265625" style="124" customWidth="1"/>
    <col min="3" max="3" width="13" style="124" customWidth="1"/>
    <col min="4" max="4" width="10" style="124" customWidth="1"/>
    <col min="5" max="7" width="13" style="124" customWidth="1"/>
    <col min="8" max="8" width="12.453125" style="124" customWidth="1"/>
    <col min="9" max="9" width="13.76953125" style="124" customWidth="1"/>
    <col min="11" max="11" width="2.2265625" style="124" customWidth="1"/>
  </cols>
  <sheetData>
    <row r="1" spans="1:15" ht="18" customHeight="1" x14ac:dyDescent="0.75">
      <c r="A1" s="272" t="s">
        <v>381</v>
      </c>
      <c r="B1" s="207"/>
      <c r="C1" s="207"/>
      <c r="D1" s="207"/>
      <c r="E1" s="207"/>
      <c r="F1" s="207"/>
      <c r="G1" s="207"/>
      <c r="H1" s="207"/>
      <c r="I1" s="207"/>
      <c r="J1" s="207"/>
      <c r="K1" s="207"/>
      <c r="L1" s="207"/>
      <c r="M1" s="207"/>
      <c r="N1" s="207"/>
      <c r="O1" s="207"/>
    </row>
    <row r="2" spans="1:15" ht="32.25" customHeight="1" x14ac:dyDescent="0.75">
      <c r="A2" s="126" t="s">
        <v>214</v>
      </c>
      <c r="B2" s="126" t="s">
        <v>215</v>
      </c>
      <c r="C2" s="261" t="s">
        <v>216</v>
      </c>
      <c r="D2" s="210"/>
      <c r="E2" s="210"/>
      <c r="F2" s="210"/>
      <c r="G2" s="211"/>
      <c r="H2" s="264" t="s">
        <v>217</v>
      </c>
      <c r="I2" s="210"/>
      <c r="J2" s="211"/>
      <c r="K2" s="261" t="s">
        <v>218</v>
      </c>
      <c r="L2" s="210"/>
      <c r="M2" s="210"/>
      <c r="N2" s="210"/>
      <c r="O2" s="211"/>
    </row>
    <row r="3" spans="1:15" ht="14.25" customHeight="1" x14ac:dyDescent="0.75">
      <c r="A3" s="240" t="s">
        <v>75</v>
      </c>
      <c r="B3" s="240"/>
      <c r="C3" s="254" t="s">
        <v>219</v>
      </c>
      <c r="D3" s="240" t="s">
        <v>220</v>
      </c>
      <c r="E3" s="210"/>
      <c r="F3" s="210"/>
      <c r="G3" s="211"/>
      <c r="H3" s="254" t="s">
        <v>38</v>
      </c>
      <c r="I3" s="254" t="s">
        <v>221</v>
      </c>
      <c r="J3" s="254" t="s">
        <v>222</v>
      </c>
      <c r="K3" s="250" t="s">
        <v>372</v>
      </c>
      <c r="L3" s="242"/>
      <c r="M3" s="242"/>
      <c r="N3" s="242"/>
      <c r="O3" s="243"/>
    </row>
    <row r="4" spans="1:15" ht="24"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57"/>
      <c r="D5" s="57"/>
      <c r="E5" s="57"/>
      <c r="F5" s="57"/>
      <c r="G5" s="57"/>
      <c r="H5" s="262" t="s">
        <v>373</v>
      </c>
      <c r="I5" s="241" t="s">
        <v>357</v>
      </c>
      <c r="J5" s="241" t="s">
        <v>46</v>
      </c>
      <c r="K5" s="244"/>
      <c r="L5" s="207"/>
      <c r="M5" s="207"/>
      <c r="N5" s="207"/>
      <c r="O5" s="245"/>
    </row>
    <row r="6" spans="1:15" ht="15" customHeight="1" x14ac:dyDescent="0.75">
      <c r="A6" s="224"/>
      <c r="B6" s="130" t="s">
        <v>227</v>
      </c>
      <c r="C6" s="57"/>
      <c r="D6" s="57"/>
      <c r="E6" s="57"/>
      <c r="F6" s="57"/>
      <c r="G6" s="57"/>
      <c r="H6" s="224"/>
      <c r="I6" s="224"/>
      <c r="J6" s="224"/>
      <c r="K6" s="244"/>
      <c r="L6" s="207"/>
      <c r="M6" s="207"/>
      <c r="N6" s="207"/>
      <c r="O6" s="245"/>
    </row>
    <row r="7" spans="1:15" ht="15" customHeight="1" x14ac:dyDescent="0.75">
      <c r="A7" s="224"/>
      <c r="B7" s="130" t="s">
        <v>228</v>
      </c>
      <c r="C7" s="58"/>
      <c r="D7" s="58"/>
      <c r="E7" s="58"/>
      <c r="F7" s="58"/>
      <c r="G7" s="58"/>
      <c r="H7" s="224"/>
      <c r="I7" s="224"/>
      <c r="J7" s="224"/>
      <c r="K7" s="244"/>
      <c r="L7" s="207"/>
      <c r="M7" s="207"/>
      <c r="N7" s="207"/>
      <c r="O7" s="245"/>
    </row>
    <row r="8" spans="1:15" ht="15" customHeight="1" x14ac:dyDescent="0.75">
      <c r="A8" s="224"/>
      <c r="B8" s="130" t="s">
        <v>229</v>
      </c>
      <c r="C8" s="58"/>
      <c r="D8" s="58"/>
      <c r="E8" s="58"/>
      <c r="F8" s="58"/>
      <c r="G8" s="58"/>
      <c r="H8" s="224"/>
      <c r="I8" s="224"/>
      <c r="J8" s="224"/>
      <c r="K8" s="244"/>
      <c r="L8" s="207"/>
      <c r="M8" s="207"/>
      <c r="N8" s="207"/>
      <c r="O8" s="245"/>
    </row>
    <row r="9" spans="1:15" ht="15" customHeight="1" x14ac:dyDescent="0.75">
      <c r="A9" s="213"/>
      <c r="B9" s="59" t="s">
        <v>230</v>
      </c>
      <c r="C9" s="60">
        <v>4</v>
      </c>
      <c r="D9" s="60">
        <v>8</v>
      </c>
      <c r="E9" s="60">
        <v>10</v>
      </c>
      <c r="F9" s="60">
        <v>20</v>
      </c>
      <c r="G9" s="60">
        <v>25</v>
      </c>
      <c r="H9" s="213"/>
      <c r="I9" s="213"/>
      <c r="J9" s="213"/>
      <c r="K9" s="246"/>
      <c r="L9" s="216"/>
      <c r="M9" s="216"/>
      <c r="N9" s="216"/>
      <c r="O9" s="247"/>
    </row>
    <row r="10" spans="1:15" ht="30.75" customHeight="1" x14ac:dyDescent="0.75">
      <c r="A10" s="258" t="s">
        <v>8</v>
      </c>
      <c r="B10" s="210"/>
      <c r="C10" s="210"/>
      <c r="D10" s="210"/>
      <c r="E10" s="210"/>
      <c r="F10" s="210"/>
      <c r="G10" s="211"/>
      <c r="H10" s="250" t="s">
        <v>47</v>
      </c>
      <c r="I10" s="210"/>
      <c r="J10" s="210"/>
      <c r="K10" s="210"/>
      <c r="L10" s="210"/>
      <c r="M10" s="210"/>
      <c r="N10" s="210"/>
      <c r="O10" s="211"/>
    </row>
    <row r="11" spans="1:15" ht="30.75" customHeight="1" x14ac:dyDescent="0.75">
      <c r="A11" s="258" t="s">
        <v>358</v>
      </c>
      <c r="B11" s="210"/>
      <c r="C11" s="210"/>
      <c r="D11" s="210"/>
      <c r="E11" s="210"/>
      <c r="F11" s="210"/>
      <c r="G11" s="211"/>
      <c r="H11" s="250" t="s">
        <v>11</v>
      </c>
      <c r="I11" s="210"/>
      <c r="J11" s="210"/>
      <c r="K11" s="210"/>
      <c r="L11" s="210"/>
      <c r="M11" s="210"/>
      <c r="N11" s="210"/>
      <c r="O11" s="211"/>
    </row>
    <row r="12" spans="1:15" ht="43.5" customHeight="1" x14ac:dyDescent="0.75">
      <c r="A12" s="263" t="s">
        <v>232</v>
      </c>
      <c r="B12" s="210"/>
      <c r="C12" s="211"/>
      <c r="D12" s="240" t="str">
        <f>A3</f>
        <v>IR1.1.2</v>
      </c>
      <c r="E12" s="210"/>
      <c r="F12" s="210"/>
      <c r="G12" s="211"/>
      <c r="H12" s="253" t="s">
        <v>374</v>
      </c>
      <c r="I12" s="210"/>
      <c r="J12" s="210"/>
      <c r="K12" s="210"/>
      <c r="L12" s="210"/>
      <c r="M12" s="210"/>
      <c r="N12" s="210"/>
      <c r="O12" s="211"/>
    </row>
    <row r="13" spans="1:15" ht="14.25" customHeight="1" x14ac:dyDescent="0.75">
      <c r="A13" s="312" t="s">
        <v>382</v>
      </c>
      <c r="B13" s="242"/>
      <c r="C13" s="242"/>
      <c r="D13" s="242"/>
      <c r="E13" s="242"/>
      <c r="F13" s="242"/>
      <c r="G13" s="243"/>
      <c r="H13" s="240" t="s">
        <v>235</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t="s">
        <v>238</v>
      </c>
      <c r="M14" s="240" t="s">
        <v>272</v>
      </c>
      <c r="N14" s="210"/>
      <c r="O14" s="211"/>
    </row>
    <row r="15" spans="1:15" ht="15.75" customHeight="1" x14ac:dyDescent="0.75">
      <c r="A15" s="244"/>
      <c r="B15" s="207"/>
      <c r="C15" s="207"/>
      <c r="D15" s="207"/>
      <c r="E15" s="207"/>
      <c r="F15" s="207"/>
      <c r="G15" s="245"/>
      <c r="H15" s="252" t="s">
        <v>240</v>
      </c>
      <c r="I15" s="211"/>
      <c r="J15" s="241"/>
      <c r="K15" s="211"/>
      <c r="L15" s="149">
        <f>IFERROR(J15/M15,"")</f>
        <v>0</v>
      </c>
      <c r="M15" s="252">
        <f>C9</f>
        <v>4</v>
      </c>
      <c r="N15" s="210"/>
      <c r="O15" s="211"/>
    </row>
    <row r="16" spans="1:15" ht="15.75" customHeight="1" x14ac:dyDescent="0.75">
      <c r="A16" s="244"/>
      <c r="B16" s="207"/>
      <c r="C16" s="207"/>
      <c r="D16" s="207"/>
      <c r="E16" s="207"/>
      <c r="F16" s="207"/>
      <c r="G16" s="245"/>
      <c r="H16" s="252">
        <v>2024</v>
      </c>
      <c r="I16" s="211"/>
      <c r="J16" s="252"/>
      <c r="K16" s="211"/>
      <c r="L16" s="149">
        <f>IFERROR(J16/M16,"")</f>
        <v>0</v>
      </c>
      <c r="M16" s="252">
        <f>D9</f>
        <v>8</v>
      </c>
      <c r="N16" s="210"/>
      <c r="O16" s="211"/>
    </row>
    <row r="17" spans="1:15" ht="15.75" customHeight="1" x14ac:dyDescent="0.75">
      <c r="A17" s="244"/>
      <c r="B17" s="207"/>
      <c r="C17" s="207"/>
      <c r="D17" s="207"/>
      <c r="E17" s="207"/>
      <c r="F17" s="207"/>
      <c r="G17" s="245"/>
      <c r="H17" s="252">
        <v>2025</v>
      </c>
      <c r="I17" s="211"/>
      <c r="J17" s="252"/>
      <c r="K17" s="211"/>
      <c r="L17" s="149">
        <f>IFERROR(J17/M17,"")</f>
        <v>0</v>
      </c>
      <c r="M17" s="252">
        <f>E9</f>
        <v>10</v>
      </c>
      <c r="N17" s="210"/>
      <c r="O17" s="211"/>
    </row>
    <row r="18" spans="1:15" ht="15.75" customHeight="1" x14ac:dyDescent="0.75">
      <c r="A18" s="244"/>
      <c r="B18" s="207"/>
      <c r="C18" s="207"/>
      <c r="D18" s="207"/>
      <c r="E18" s="207"/>
      <c r="F18" s="207"/>
      <c r="G18" s="245"/>
      <c r="H18" s="252">
        <v>2026</v>
      </c>
      <c r="I18" s="211"/>
      <c r="J18" s="252"/>
      <c r="K18" s="211"/>
      <c r="L18" s="149">
        <f>IFERROR(J18/M18,"")</f>
        <v>0</v>
      </c>
      <c r="M18" s="252">
        <f>F9</f>
        <v>20</v>
      </c>
      <c r="N18" s="210"/>
      <c r="O18" s="211"/>
    </row>
    <row r="19" spans="1:15" ht="15.75" customHeight="1" x14ac:dyDescent="0.75">
      <c r="A19" s="246"/>
      <c r="B19" s="216"/>
      <c r="C19" s="216"/>
      <c r="D19" s="216"/>
      <c r="E19" s="216"/>
      <c r="F19" s="216"/>
      <c r="G19" s="247"/>
      <c r="H19" s="252">
        <v>2027</v>
      </c>
      <c r="I19" s="211"/>
      <c r="J19" s="252"/>
      <c r="K19" s="211"/>
      <c r="L19" s="149">
        <f>IFERROR(J19/M19,"")</f>
        <v>0</v>
      </c>
      <c r="M19" s="252">
        <f>G9</f>
        <v>25</v>
      </c>
      <c r="N19" s="210"/>
      <c r="O19" s="211"/>
    </row>
    <row r="20" spans="1:15" ht="40" customHeight="1" x14ac:dyDescent="0.75">
      <c r="A20" s="54" t="s">
        <v>302</v>
      </c>
      <c r="B20" s="256" t="s">
        <v>375</v>
      </c>
      <c r="C20" s="210"/>
      <c r="D20" s="210"/>
      <c r="E20" s="210"/>
      <c r="F20" s="210"/>
      <c r="G20" s="210"/>
      <c r="H20" s="210"/>
      <c r="I20" s="210"/>
      <c r="J20" s="210"/>
      <c r="K20" s="210"/>
      <c r="L20" s="210"/>
      <c r="M20" s="210"/>
      <c r="N20" s="210"/>
      <c r="O20" s="211"/>
    </row>
    <row r="21" spans="1:15" ht="40" customHeight="1" x14ac:dyDescent="0.75">
      <c r="A21" s="54" t="s">
        <v>242</v>
      </c>
      <c r="B21" s="256" t="s">
        <v>303</v>
      </c>
      <c r="C21" s="210"/>
      <c r="D21" s="210"/>
      <c r="E21" s="210"/>
      <c r="F21" s="210"/>
      <c r="G21" s="210"/>
      <c r="H21" s="210"/>
      <c r="I21" s="210"/>
      <c r="J21" s="210"/>
      <c r="K21" s="210"/>
      <c r="L21" s="210"/>
      <c r="M21" s="210"/>
      <c r="N21" s="210"/>
      <c r="O21" s="211"/>
    </row>
    <row r="22" spans="1:15" ht="40" customHeight="1" x14ac:dyDescent="0.75">
      <c r="A22" s="54" t="s">
        <v>243</v>
      </c>
      <c r="B22" s="256" t="s">
        <v>376</v>
      </c>
      <c r="C22" s="210"/>
      <c r="D22" s="210"/>
      <c r="E22" s="210"/>
      <c r="F22" s="210"/>
      <c r="G22" s="210"/>
      <c r="H22" s="210"/>
      <c r="I22" s="210"/>
      <c r="J22" s="210"/>
      <c r="K22" s="210"/>
      <c r="L22" s="210"/>
      <c r="M22" s="210"/>
      <c r="N22" s="210"/>
      <c r="O22" s="211"/>
    </row>
    <row r="23" spans="1:15" ht="40" customHeight="1" x14ac:dyDescent="0.75">
      <c r="A23" s="54" t="s">
        <v>276</v>
      </c>
      <c r="B23" s="256" t="s">
        <v>372</v>
      </c>
      <c r="C23" s="210"/>
      <c r="D23" s="210"/>
      <c r="E23" s="210"/>
      <c r="F23" s="210"/>
      <c r="G23" s="210"/>
      <c r="H23" s="210"/>
      <c r="I23" s="210"/>
      <c r="J23" s="210"/>
      <c r="K23" s="210"/>
      <c r="L23" s="210"/>
      <c r="M23" s="210"/>
      <c r="N23" s="210"/>
      <c r="O23" s="211"/>
    </row>
    <row r="24" spans="1:15" ht="28" customHeight="1" x14ac:dyDescent="0.75">
      <c r="A24" s="54" t="s">
        <v>278</v>
      </c>
      <c r="B24" s="256" t="s">
        <v>293</v>
      </c>
      <c r="C24" s="210"/>
      <c r="D24" s="210"/>
      <c r="E24" s="210"/>
      <c r="F24" s="210"/>
      <c r="G24" s="210"/>
      <c r="H24" s="210"/>
      <c r="I24" s="210"/>
      <c r="J24" s="210"/>
      <c r="K24" s="210"/>
      <c r="L24" s="210"/>
      <c r="M24" s="210"/>
      <c r="N24" s="210"/>
      <c r="O24" s="211"/>
    </row>
    <row r="25" spans="1:15" ht="40" customHeight="1" x14ac:dyDescent="0.75">
      <c r="A25" s="54" t="s">
        <v>306</v>
      </c>
      <c r="B25" s="256" t="s">
        <v>280</v>
      </c>
      <c r="C25" s="210"/>
      <c r="D25" s="210"/>
      <c r="E25" s="210"/>
      <c r="F25" s="210"/>
      <c r="G25" s="210"/>
      <c r="H25" s="210"/>
      <c r="I25" s="210"/>
      <c r="J25" s="210"/>
      <c r="K25" s="210"/>
      <c r="L25" s="210"/>
      <c r="M25" s="210"/>
      <c r="N25" s="210"/>
      <c r="O25" s="211"/>
    </row>
    <row r="26" spans="1:15" ht="40" customHeight="1" x14ac:dyDescent="0.75">
      <c r="A26" s="54" t="s">
        <v>251</v>
      </c>
      <c r="B26" s="256" t="s">
        <v>230</v>
      </c>
      <c r="C26" s="210"/>
      <c r="D26" s="210"/>
      <c r="E26" s="210"/>
      <c r="F26" s="210"/>
      <c r="G26" s="210"/>
      <c r="H26" s="210"/>
      <c r="I26" s="210"/>
      <c r="J26" s="210"/>
      <c r="K26" s="210"/>
      <c r="L26" s="210"/>
      <c r="M26" s="210"/>
      <c r="N26" s="210"/>
      <c r="O26" s="211"/>
    </row>
    <row r="27" spans="1:15" ht="40" customHeight="1" x14ac:dyDescent="0.75">
      <c r="A27" s="54" t="s">
        <v>253</v>
      </c>
      <c r="B27" s="256" t="s">
        <v>282</v>
      </c>
      <c r="C27" s="210"/>
      <c r="D27" s="210"/>
      <c r="E27" s="210"/>
      <c r="F27" s="210"/>
      <c r="G27" s="210"/>
      <c r="H27" s="210"/>
      <c r="I27" s="210"/>
      <c r="J27" s="210"/>
      <c r="K27" s="210"/>
      <c r="L27" s="210"/>
      <c r="M27" s="210"/>
      <c r="N27" s="210"/>
      <c r="O27" s="211"/>
    </row>
    <row r="28" spans="1:15" ht="28" customHeight="1" x14ac:dyDescent="0.75">
      <c r="A28" s="54" t="s">
        <v>283</v>
      </c>
      <c r="B28" s="314" t="s">
        <v>377</v>
      </c>
      <c r="C28" s="210"/>
      <c r="D28" s="210"/>
      <c r="E28" s="210"/>
      <c r="F28" s="210"/>
      <c r="G28" s="210"/>
      <c r="H28" s="210"/>
      <c r="I28" s="210"/>
      <c r="J28" s="210"/>
      <c r="K28" s="210"/>
      <c r="L28" s="210"/>
      <c r="M28" s="210"/>
      <c r="N28" s="210"/>
      <c r="O28" s="211"/>
    </row>
    <row r="29" spans="1:15" ht="40" customHeight="1" x14ac:dyDescent="0.75">
      <c r="A29" s="54" t="s">
        <v>257</v>
      </c>
      <c r="B29" s="256" t="s">
        <v>378</v>
      </c>
      <c r="C29" s="210"/>
      <c r="D29" s="210"/>
      <c r="E29" s="210"/>
      <c r="F29" s="210"/>
      <c r="G29" s="210"/>
      <c r="H29" s="210"/>
      <c r="I29" s="210"/>
      <c r="J29" s="210"/>
      <c r="K29" s="210"/>
      <c r="L29" s="210"/>
      <c r="M29" s="210"/>
      <c r="N29" s="210"/>
      <c r="O29" s="211"/>
    </row>
    <row r="30" spans="1:15" ht="28" customHeight="1" x14ac:dyDescent="0.75">
      <c r="A30" s="54" t="s">
        <v>258</v>
      </c>
      <c r="B30" s="314" t="s">
        <v>373</v>
      </c>
      <c r="C30" s="210"/>
      <c r="D30" s="210"/>
      <c r="E30" s="210"/>
      <c r="F30" s="210"/>
      <c r="G30" s="210"/>
      <c r="H30" s="210"/>
      <c r="I30" s="210"/>
      <c r="J30" s="210"/>
      <c r="K30" s="210"/>
      <c r="L30" s="210"/>
      <c r="M30" s="210"/>
      <c r="N30" s="210"/>
      <c r="O30" s="211"/>
    </row>
    <row r="31" spans="1:15" ht="28" customHeight="1" x14ac:dyDescent="0.75">
      <c r="A31" s="54" t="s">
        <v>259</v>
      </c>
      <c r="B31" s="256" t="s">
        <v>260</v>
      </c>
      <c r="C31" s="210"/>
      <c r="D31" s="210"/>
      <c r="E31" s="210"/>
      <c r="F31" s="210"/>
      <c r="G31" s="210"/>
      <c r="H31" s="210"/>
      <c r="I31" s="210"/>
      <c r="J31" s="210"/>
      <c r="K31" s="210"/>
      <c r="L31" s="210"/>
      <c r="M31" s="210"/>
      <c r="N31" s="210"/>
      <c r="O31" s="211"/>
    </row>
    <row r="32" spans="1:15" ht="28" customHeight="1" x14ac:dyDescent="0.75">
      <c r="A32" s="54" t="s">
        <v>261</v>
      </c>
      <c r="B32" s="314" t="s">
        <v>379</v>
      </c>
      <c r="C32" s="210"/>
      <c r="D32" s="210"/>
      <c r="E32" s="210"/>
      <c r="F32" s="210"/>
      <c r="G32" s="210"/>
      <c r="H32" s="210"/>
      <c r="I32" s="210"/>
      <c r="J32" s="210"/>
      <c r="K32" s="210"/>
      <c r="L32" s="210"/>
      <c r="M32" s="210"/>
      <c r="N32" s="210"/>
      <c r="O32" s="211"/>
    </row>
    <row r="33" spans="1:15" ht="54" customHeight="1" x14ac:dyDescent="0.75">
      <c r="A33" s="54" t="s">
        <v>314</v>
      </c>
      <c r="B33" s="313" t="s">
        <v>380</v>
      </c>
      <c r="C33" s="210"/>
      <c r="D33" s="210"/>
      <c r="E33" s="210"/>
      <c r="F33" s="210"/>
      <c r="G33" s="210"/>
      <c r="H33" s="210"/>
      <c r="I33" s="210"/>
      <c r="J33" s="210"/>
      <c r="K33" s="210"/>
      <c r="L33" s="210"/>
      <c r="M33" s="210"/>
      <c r="N33" s="210"/>
      <c r="O33" s="211"/>
    </row>
  </sheetData>
  <mergeCells count="56">
    <mergeCell ref="A1:O1"/>
    <mergeCell ref="B20:O20"/>
    <mergeCell ref="H14:I14"/>
    <mergeCell ref="B32:O32"/>
    <mergeCell ref="J17:K17"/>
    <mergeCell ref="B30:O30"/>
    <mergeCell ref="B24:O24"/>
    <mergeCell ref="H15:I15"/>
    <mergeCell ref="H18:I18"/>
    <mergeCell ref="A12:C12"/>
    <mergeCell ref="B31:O31"/>
    <mergeCell ref="M16:O16"/>
    <mergeCell ref="B22:O22"/>
    <mergeCell ref="A10:G10"/>
    <mergeCell ref="M15:O15"/>
    <mergeCell ref="B27:O27"/>
    <mergeCell ref="B33:O33"/>
    <mergeCell ref="J18:K18"/>
    <mergeCell ref="H11:O11"/>
    <mergeCell ref="J16:K16"/>
    <mergeCell ref="C2:G2"/>
    <mergeCell ref="B29:O29"/>
    <mergeCell ref="K2:O2"/>
    <mergeCell ref="H3:H4"/>
    <mergeCell ref="H5:H9"/>
    <mergeCell ref="H19:I19"/>
    <mergeCell ref="J3:J4"/>
    <mergeCell ref="B28:O28"/>
    <mergeCell ref="H13:O13"/>
    <mergeCell ref="H12:O12"/>
    <mergeCell ref="C3:C4"/>
    <mergeCell ref="H2:J2"/>
    <mergeCell ref="B21:O21"/>
    <mergeCell ref="A13:G19"/>
    <mergeCell ref="M18:O18"/>
    <mergeCell ref="J15:K15"/>
    <mergeCell ref="I3:I4"/>
    <mergeCell ref="M17:O17"/>
    <mergeCell ref="M19:O19"/>
    <mergeCell ref="H16:I16"/>
    <mergeCell ref="B23:O23"/>
    <mergeCell ref="A11:G11"/>
    <mergeCell ref="B26:O26"/>
    <mergeCell ref="D3:G3"/>
    <mergeCell ref="I5:I9"/>
    <mergeCell ref="D12:G12"/>
    <mergeCell ref="A3:A9"/>
    <mergeCell ref="J14:K14"/>
    <mergeCell ref="B3:B4"/>
    <mergeCell ref="K3:O9"/>
    <mergeCell ref="B25:O25"/>
    <mergeCell ref="J19:K19"/>
    <mergeCell ref="H10:O10"/>
    <mergeCell ref="H17:I17"/>
    <mergeCell ref="M14:O14"/>
    <mergeCell ref="J5:J9"/>
  </mergeCells>
  <printOptions horizontalCentered="1"/>
  <pageMargins left="0.7" right="0.7" top="0.75" bottom="0.75" header="0.511811023622047" footer="0.511811023622047"/>
  <pageSetup paperSize="9" scale="50"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3"/>
  <sheetViews>
    <sheetView topLeftCell="A17" zoomScale="70" zoomScaleNormal="70" workbookViewId="0">
      <selection activeCell="B26" sqref="B26:O26"/>
    </sheetView>
  </sheetViews>
  <sheetFormatPr baseColWidth="10" defaultColWidth="11.453125" defaultRowHeight="14.75" x14ac:dyDescent="0.75"/>
  <cols>
    <col min="1" max="1" width="30.76953125" style="153" customWidth="1"/>
    <col min="2" max="2" width="15.2265625" style="153" customWidth="1"/>
    <col min="3" max="3" width="13" style="153" customWidth="1"/>
    <col min="4" max="5" width="10" style="153" customWidth="1"/>
    <col min="6" max="7" width="13" style="153" customWidth="1"/>
    <col min="8" max="8" width="23.86328125" style="153" customWidth="1"/>
    <col min="9" max="10" width="11.453125" style="153"/>
    <col min="11" max="11" width="4.453125" style="153" customWidth="1"/>
    <col min="12" max="14" width="11.453125" style="153"/>
    <col min="15" max="15" width="4.76953125" style="153" customWidth="1"/>
    <col min="16" max="16384" width="11.453125" style="153"/>
  </cols>
  <sheetData>
    <row r="1" spans="1:15" ht="18" customHeight="1" x14ac:dyDescent="0.75">
      <c r="A1" s="345" t="s">
        <v>394</v>
      </c>
      <c r="B1" s="330"/>
      <c r="C1" s="330"/>
      <c r="D1" s="330"/>
      <c r="E1" s="330"/>
      <c r="F1" s="330"/>
      <c r="G1" s="330"/>
      <c r="H1" s="330"/>
      <c r="I1" s="330"/>
      <c r="J1" s="330"/>
      <c r="K1" s="330"/>
      <c r="L1" s="330"/>
      <c r="M1" s="330"/>
      <c r="N1" s="330"/>
      <c r="O1" s="330"/>
    </row>
    <row r="2" spans="1:15" ht="30.75" customHeight="1" x14ac:dyDescent="0.75">
      <c r="A2" s="154" t="s">
        <v>214</v>
      </c>
      <c r="B2" s="154" t="s">
        <v>215</v>
      </c>
      <c r="C2" s="340" t="s">
        <v>216</v>
      </c>
      <c r="D2" s="319"/>
      <c r="E2" s="319"/>
      <c r="F2" s="319"/>
      <c r="G2" s="320"/>
      <c r="H2" s="344" t="s">
        <v>217</v>
      </c>
      <c r="I2" s="319"/>
      <c r="J2" s="320"/>
      <c r="K2" s="340" t="s">
        <v>218</v>
      </c>
      <c r="L2" s="319"/>
      <c r="M2" s="319"/>
      <c r="N2" s="319"/>
      <c r="O2" s="320"/>
    </row>
    <row r="3" spans="1:15" x14ac:dyDescent="0.75">
      <c r="A3" s="322" t="s">
        <v>383</v>
      </c>
      <c r="B3" s="322"/>
      <c r="C3" s="338" t="s">
        <v>219</v>
      </c>
      <c r="D3" s="322" t="s">
        <v>220</v>
      </c>
      <c r="E3" s="319"/>
      <c r="F3" s="319"/>
      <c r="G3" s="320"/>
      <c r="H3" s="338" t="s">
        <v>38</v>
      </c>
      <c r="I3" s="338" t="s">
        <v>221</v>
      </c>
      <c r="J3" s="338" t="s">
        <v>222</v>
      </c>
      <c r="K3" s="326" t="s">
        <v>384</v>
      </c>
      <c r="L3" s="327"/>
      <c r="M3" s="327"/>
      <c r="N3" s="327"/>
      <c r="O3" s="328"/>
    </row>
    <row r="4" spans="1:15" x14ac:dyDescent="0.75">
      <c r="A4" s="324"/>
      <c r="B4" s="325"/>
      <c r="C4" s="325"/>
      <c r="D4" s="155">
        <v>2024</v>
      </c>
      <c r="E4" s="155">
        <v>2025</v>
      </c>
      <c r="F4" s="155">
        <v>2026</v>
      </c>
      <c r="G4" s="155">
        <v>2027</v>
      </c>
      <c r="H4" s="325"/>
      <c r="I4" s="325"/>
      <c r="J4" s="325"/>
      <c r="K4" s="329"/>
      <c r="L4" s="330"/>
      <c r="M4" s="330"/>
      <c r="N4" s="330"/>
      <c r="O4" s="331"/>
    </row>
    <row r="5" spans="1:15" x14ac:dyDescent="0.75">
      <c r="A5" s="324"/>
      <c r="B5" s="156" t="s">
        <v>224</v>
      </c>
      <c r="C5" s="200"/>
      <c r="D5" s="200"/>
      <c r="E5" s="200"/>
      <c r="F5" s="200"/>
      <c r="G5" s="200"/>
      <c r="H5" s="341" t="s">
        <v>385</v>
      </c>
      <c r="I5" s="323" t="s">
        <v>86</v>
      </c>
      <c r="J5" s="323" t="s">
        <v>46</v>
      </c>
      <c r="K5" s="329"/>
      <c r="L5" s="330"/>
      <c r="M5" s="330"/>
      <c r="N5" s="330"/>
      <c r="O5" s="331"/>
    </row>
    <row r="6" spans="1:15" x14ac:dyDescent="0.75">
      <c r="A6" s="324"/>
      <c r="B6" s="156" t="s">
        <v>227</v>
      </c>
      <c r="C6" s="200"/>
      <c r="D6" s="200"/>
      <c r="E6" s="200"/>
      <c r="F6" s="200"/>
      <c r="G6" s="200"/>
      <c r="H6" s="324"/>
      <c r="I6" s="324"/>
      <c r="J6" s="324"/>
      <c r="K6" s="329"/>
      <c r="L6" s="330"/>
      <c r="M6" s="330"/>
      <c r="N6" s="330"/>
      <c r="O6" s="331"/>
    </row>
    <row r="7" spans="1:15" x14ac:dyDescent="0.75">
      <c r="A7" s="324"/>
      <c r="B7" s="156" t="s">
        <v>228</v>
      </c>
      <c r="C7" s="201"/>
      <c r="D7" s="201"/>
      <c r="E7" s="201"/>
      <c r="F7" s="201"/>
      <c r="G7" s="201"/>
      <c r="H7" s="324"/>
      <c r="I7" s="324"/>
      <c r="J7" s="324"/>
      <c r="K7" s="329"/>
      <c r="L7" s="330"/>
      <c r="M7" s="330"/>
      <c r="N7" s="330"/>
      <c r="O7" s="331"/>
    </row>
    <row r="8" spans="1:15" x14ac:dyDescent="0.75">
      <c r="A8" s="324"/>
      <c r="B8" s="156" t="s">
        <v>229</v>
      </c>
      <c r="C8" s="201"/>
      <c r="D8" s="201"/>
      <c r="E8" s="201"/>
      <c r="F8" s="201"/>
      <c r="G8" s="201"/>
      <c r="H8" s="324"/>
      <c r="I8" s="324"/>
      <c r="J8" s="324"/>
      <c r="K8" s="329"/>
      <c r="L8" s="330"/>
      <c r="M8" s="330"/>
      <c r="N8" s="330"/>
      <c r="O8" s="331"/>
    </row>
    <row r="9" spans="1:15" x14ac:dyDescent="0.75">
      <c r="A9" s="325"/>
      <c r="B9" s="194" t="s">
        <v>230</v>
      </c>
      <c r="C9" s="202"/>
      <c r="D9" s="203">
        <v>20000</v>
      </c>
      <c r="E9" s="203">
        <v>100000</v>
      </c>
      <c r="F9" s="203">
        <v>200000</v>
      </c>
      <c r="G9" s="203">
        <v>300000</v>
      </c>
      <c r="H9" s="325"/>
      <c r="I9" s="325"/>
      <c r="J9" s="325"/>
      <c r="K9" s="332"/>
      <c r="L9" s="333"/>
      <c r="M9" s="333"/>
      <c r="N9" s="333"/>
      <c r="O9" s="334"/>
    </row>
    <row r="10" spans="1:15" x14ac:dyDescent="0.75">
      <c r="A10" s="318" t="s">
        <v>8</v>
      </c>
      <c r="B10" s="319"/>
      <c r="C10" s="319"/>
      <c r="D10" s="319"/>
      <c r="E10" s="319"/>
      <c r="F10" s="319"/>
      <c r="G10" s="320"/>
      <c r="H10" s="326" t="s">
        <v>5</v>
      </c>
      <c r="I10" s="319"/>
      <c r="J10" s="319"/>
      <c r="K10" s="319"/>
      <c r="L10" s="319"/>
      <c r="M10" s="319"/>
      <c r="N10" s="319"/>
      <c r="O10" s="320"/>
    </row>
    <row r="11" spans="1:15" x14ac:dyDescent="0.75">
      <c r="A11" s="318" t="s">
        <v>358</v>
      </c>
      <c r="B11" s="319"/>
      <c r="C11" s="319"/>
      <c r="D11" s="319"/>
      <c r="E11" s="319"/>
      <c r="F11" s="319"/>
      <c r="G11" s="320"/>
      <c r="H11" s="326" t="s">
        <v>11</v>
      </c>
      <c r="I11" s="319"/>
      <c r="J11" s="319"/>
      <c r="K11" s="319"/>
      <c r="L11" s="319"/>
      <c r="M11" s="319"/>
      <c r="N11" s="319"/>
      <c r="O11" s="320"/>
    </row>
    <row r="12" spans="1:15" x14ac:dyDescent="0.75">
      <c r="A12" s="346" t="s">
        <v>232</v>
      </c>
      <c r="B12" s="319"/>
      <c r="C12" s="320"/>
      <c r="D12" s="322" t="str">
        <f>A3</f>
        <v>IR1.1.3</v>
      </c>
      <c r="E12" s="319"/>
      <c r="F12" s="319"/>
      <c r="G12" s="320"/>
      <c r="H12" s="343" t="s">
        <v>386</v>
      </c>
      <c r="I12" s="319"/>
      <c r="J12" s="319"/>
      <c r="K12" s="319"/>
      <c r="L12" s="319"/>
      <c r="M12" s="319"/>
      <c r="N12" s="319"/>
      <c r="O12" s="320"/>
    </row>
    <row r="13" spans="1:15" x14ac:dyDescent="0.75">
      <c r="A13" s="336" t="s">
        <v>395</v>
      </c>
      <c r="B13" s="327"/>
      <c r="C13" s="327"/>
      <c r="D13" s="327"/>
      <c r="E13" s="327"/>
      <c r="F13" s="327"/>
      <c r="G13" s="328"/>
      <c r="H13" s="322" t="s">
        <v>235</v>
      </c>
      <c r="I13" s="319"/>
      <c r="J13" s="319"/>
      <c r="K13" s="319"/>
      <c r="L13" s="319"/>
      <c r="M13" s="319"/>
      <c r="N13" s="319"/>
      <c r="O13" s="320"/>
    </row>
    <row r="14" spans="1:15" x14ac:dyDescent="0.75">
      <c r="A14" s="329"/>
      <c r="B14" s="330"/>
      <c r="C14" s="330"/>
      <c r="D14" s="330"/>
      <c r="E14" s="330"/>
      <c r="F14" s="330"/>
      <c r="G14" s="331"/>
      <c r="H14" s="322" t="s">
        <v>236</v>
      </c>
      <c r="I14" s="320"/>
      <c r="J14" s="322" t="s">
        <v>237</v>
      </c>
      <c r="K14" s="320"/>
      <c r="L14" s="155" t="s">
        <v>238</v>
      </c>
      <c r="M14" s="322" t="s">
        <v>272</v>
      </c>
      <c r="N14" s="319"/>
      <c r="O14" s="320"/>
    </row>
    <row r="15" spans="1:15" x14ac:dyDescent="0.75">
      <c r="A15" s="329"/>
      <c r="B15" s="330"/>
      <c r="C15" s="330"/>
      <c r="D15" s="330"/>
      <c r="E15" s="330"/>
      <c r="F15" s="330"/>
      <c r="G15" s="331"/>
      <c r="H15" s="335" t="s">
        <v>240</v>
      </c>
      <c r="I15" s="320"/>
      <c r="J15" s="323"/>
      <c r="K15" s="320"/>
      <c r="L15" s="197" t="str">
        <f>IFERROR(J15/M15,"")</f>
        <v/>
      </c>
      <c r="M15" s="335">
        <f>C9</f>
        <v>0</v>
      </c>
      <c r="N15" s="319"/>
      <c r="O15" s="320"/>
    </row>
    <row r="16" spans="1:15" x14ac:dyDescent="0.75">
      <c r="A16" s="329"/>
      <c r="B16" s="330"/>
      <c r="C16" s="330"/>
      <c r="D16" s="330"/>
      <c r="E16" s="330"/>
      <c r="F16" s="330"/>
      <c r="G16" s="331"/>
      <c r="H16" s="335">
        <v>2024</v>
      </c>
      <c r="I16" s="320"/>
      <c r="J16" s="335"/>
      <c r="K16" s="320"/>
      <c r="L16" s="197">
        <f>IFERROR(J16/M16,"")</f>
        <v>0</v>
      </c>
      <c r="M16" s="337">
        <f>D9</f>
        <v>20000</v>
      </c>
      <c r="N16" s="319"/>
      <c r="O16" s="320"/>
    </row>
    <row r="17" spans="1:15" x14ac:dyDescent="0.75">
      <c r="A17" s="329"/>
      <c r="B17" s="330"/>
      <c r="C17" s="330"/>
      <c r="D17" s="330"/>
      <c r="E17" s="330"/>
      <c r="F17" s="330"/>
      <c r="G17" s="331"/>
      <c r="H17" s="335">
        <v>2025</v>
      </c>
      <c r="I17" s="320"/>
      <c r="J17" s="335"/>
      <c r="K17" s="320"/>
      <c r="L17" s="197">
        <f>IFERROR(J17/M17,"")</f>
        <v>0</v>
      </c>
      <c r="M17" s="337">
        <f>E9</f>
        <v>100000</v>
      </c>
      <c r="N17" s="319"/>
      <c r="O17" s="320"/>
    </row>
    <row r="18" spans="1:15" x14ac:dyDescent="0.75">
      <c r="A18" s="329"/>
      <c r="B18" s="330"/>
      <c r="C18" s="330"/>
      <c r="D18" s="330"/>
      <c r="E18" s="330"/>
      <c r="F18" s="330"/>
      <c r="G18" s="331"/>
      <c r="H18" s="335">
        <v>2026</v>
      </c>
      <c r="I18" s="320"/>
      <c r="J18" s="335"/>
      <c r="K18" s="320"/>
      <c r="L18" s="197">
        <f>IFERROR(J18/M18,"")</f>
        <v>0</v>
      </c>
      <c r="M18" s="337">
        <f>F9</f>
        <v>200000</v>
      </c>
      <c r="N18" s="319"/>
      <c r="O18" s="320"/>
    </row>
    <row r="19" spans="1:15" x14ac:dyDescent="0.75">
      <c r="A19" s="332"/>
      <c r="B19" s="333"/>
      <c r="C19" s="333"/>
      <c r="D19" s="333"/>
      <c r="E19" s="333"/>
      <c r="F19" s="333"/>
      <c r="G19" s="334"/>
      <c r="H19" s="335">
        <v>2027</v>
      </c>
      <c r="I19" s="320"/>
      <c r="J19" s="335"/>
      <c r="K19" s="320"/>
      <c r="L19" s="197">
        <f>IFERROR(J19/M19,"")</f>
        <v>0</v>
      </c>
      <c r="M19" s="337">
        <f>G9</f>
        <v>300000</v>
      </c>
      <c r="N19" s="319"/>
      <c r="O19" s="320"/>
    </row>
    <row r="20" spans="1:15" x14ac:dyDescent="0.75">
      <c r="A20" s="204" t="s">
        <v>302</v>
      </c>
      <c r="B20" s="315" t="s">
        <v>346</v>
      </c>
      <c r="C20" s="316"/>
      <c r="D20" s="316"/>
      <c r="E20" s="316"/>
      <c r="F20" s="316"/>
      <c r="G20" s="316"/>
      <c r="H20" s="316"/>
      <c r="I20" s="316"/>
      <c r="J20" s="316"/>
      <c r="K20" s="316"/>
      <c r="L20" s="316"/>
      <c r="M20" s="316"/>
      <c r="N20" s="316"/>
      <c r="O20" s="317"/>
    </row>
    <row r="21" spans="1:15" x14ac:dyDescent="0.75">
      <c r="A21" s="204" t="s">
        <v>242</v>
      </c>
      <c r="B21" s="315" t="s">
        <v>5</v>
      </c>
      <c r="C21" s="316"/>
      <c r="D21" s="316"/>
      <c r="E21" s="316"/>
      <c r="F21" s="316"/>
      <c r="G21" s="316"/>
      <c r="H21" s="316"/>
      <c r="I21" s="316"/>
      <c r="J21" s="316"/>
      <c r="K21" s="316"/>
      <c r="L21" s="316"/>
      <c r="M21" s="316"/>
      <c r="N21" s="316"/>
      <c r="O21" s="317"/>
    </row>
    <row r="22" spans="1:15" x14ac:dyDescent="0.75">
      <c r="A22" s="204" t="s">
        <v>243</v>
      </c>
      <c r="B22" s="315" t="s">
        <v>387</v>
      </c>
      <c r="C22" s="316"/>
      <c r="D22" s="316"/>
      <c r="E22" s="316"/>
      <c r="F22" s="316"/>
      <c r="G22" s="316"/>
      <c r="H22" s="316"/>
      <c r="I22" s="316"/>
      <c r="J22" s="316"/>
      <c r="K22" s="316"/>
      <c r="L22" s="316"/>
      <c r="M22" s="316"/>
      <c r="N22" s="316"/>
      <c r="O22" s="317"/>
    </row>
    <row r="23" spans="1:15" x14ac:dyDescent="0.75">
      <c r="A23" s="204" t="s">
        <v>276</v>
      </c>
      <c r="B23" s="315" t="s">
        <v>384</v>
      </c>
      <c r="C23" s="316"/>
      <c r="D23" s="316"/>
      <c r="E23" s="316"/>
      <c r="F23" s="316"/>
      <c r="G23" s="316"/>
      <c r="H23" s="316"/>
      <c r="I23" s="316"/>
      <c r="J23" s="316"/>
      <c r="K23" s="316"/>
      <c r="L23" s="316"/>
      <c r="M23" s="316"/>
      <c r="N23" s="316"/>
      <c r="O23" s="317"/>
    </row>
    <row r="24" spans="1:15" x14ac:dyDescent="0.75">
      <c r="A24" s="204" t="s">
        <v>278</v>
      </c>
      <c r="B24" s="321" t="s">
        <v>293</v>
      </c>
      <c r="C24" s="316"/>
      <c r="D24" s="316"/>
      <c r="E24" s="316"/>
      <c r="F24" s="316"/>
      <c r="G24" s="316"/>
      <c r="H24" s="316"/>
      <c r="I24" s="316"/>
      <c r="J24" s="316"/>
      <c r="K24" s="316"/>
      <c r="L24" s="316"/>
      <c r="M24" s="316"/>
      <c r="N24" s="316"/>
      <c r="O24" s="317"/>
    </row>
    <row r="25" spans="1:15" x14ac:dyDescent="0.75">
      <c r="A25" s="204" t="s">
        <v>306</v>
      </c>
      <c r="B25" s="321" t="s">
        <v>280</v>
      </c>
      <c r="C25" s="316"/>
      <c r="D25" s="316"/>
      <c r="E25" s="316"/>
      <c r="F25" s="316"/>
      <c r="G25" s="316"/>
      <c r="H25" s="316"/>
      <c r="I25" s="316"/>
      <c r="J25" s="316"/>
      <c r="K25" s="316"/>
      <c r="L25" s="316"/>
      <c r="M25" s="316"/>
      <c r="N25" s="316"/>
      <c r="O25" s="317"/>
    </row>
    <row r="26" spans="1:15" x14ac:dyDescent="0.75">
      <c r="A26" s="204" t="s">
        <v>251</v>
      </c>
      <c r="B26" s="321" t="s">
        <v>388</v>
      </c>
      <c r="C26" s="316"/>
      <c r="D26" s="316"/>
      <c r="E26" s="316"/>
      <c r="F26" s="316"/>
      <c r="G26" s="316"/>
      <c r="H26" s="316"/>
      <c r="I26" s="316"/>
      <c r="J26" s="316"/>
      <c r="K26" s="316"/>
      <c r="L26" s="316"/>
      <c r="M26" s="316"/>
      <c r="N26" s="316"/>
      <c r="O26" s="317"/>
    </row>
    <row r="27" spans="1:15" x14ac:dyDescent="0.75">
      <c r="A27" s="204" t="s">
        <v>253</v>
      </c>
      <c r="B27" s="321" t="s">
        <v>389</v>
      </c>
      <c r="C27" s="316"/>
      <c r="D27" s="316"/>
      <c r="E27" s="316"/>
      <c r="F27" s="316"/>
      <c r="G27" s="316"/>
      <c r="H27" s="316"/>
      <c r="I27" s="316"/>
      <c r="J27" s="316"/>
      <c r="K27" s="316"/>
      <c r="L27" s="316"/>
      <c r="M27" s="316"/>
      <c r="N27" s="316"/>
      <c r="O27" s="317"/>
    </row>
    <row r="28" spans="1:15" x14ac:dyDescent="0.75">
      <c r="A28" s="204" t="s">
        <v>283</v>
      </c>
      <c r="B28" s="342" t="s">
        <v>390</v>
      </c>
      <c r="C28" s="319"/>
      <c r="D28" s="319"/>
      <c r="E28" s="319"/>
      <c r="F28" s="319"/>
      <c r="G28" s="319"/>
      <c r="H28" s="319"/>
      <c r="I28" s="319"/>
      <c r="J28" s="319"/>
      <c r="K28" s="319"/>
      <c r="L28" s="319"/>
      <c r="M28" s="319"/>
      <c r="N28" s="319"/>
      <c r="O28" s="320"/>
    </row>
    <row r="29" spans="1:15" x14ac:dyDescent="0.75">
      <c r="A29" s="204" t="s">
        <v>257</v>
      </c>
      <c r="B29" s="315" t="s">
        <v>391</v>
      </c>
      <c r="C29" s="316"/>
      <c r="D29" s="316"/>
      <c r="E29" s="316"/>
      <c r="F29" s="316"/>
      <c r="G29" s="316"/>
      <c r="H29" s="316"/>
      <c r="I29" s="316"/>
      <c r="J29" s="316"/>
      <c r="K29" s="316"/>
      <c r="L29" s="316"/>
      <c r="M29" s="316"/>
      <c r="N29" s="316"/>
      <c r="O29" s="317"/>
    </row>
    <row r="30" spans="1:15" x14ac:dyDescent="0.75">
      <c r="A30" s="204" t="s">
        <v>258</v>
      </c>
      <c r="B30" s="342" t="s">
        <v>385</v>
      </c>
      <c r="C30" s="319"/>
      <c r="D30" s="319"/>
      <c r="E30" s="319"/>
      <c r="F30" s="319"/>
      <c r="G30" s="319"/>
      <c r="H30" s="319"/>
      <c r="I30" s="319"/>
      <c r="J30" s="319"/>
      <c r="K30" s="319"/>
      <c r="L30" s="319"/>
      <c r="M30" s="319"/>
      <c r="N30" s="319"/>
      <c r="O30" s="320"/>
    </row>
    <row r="31" spans="1:15" x14ac:dyDescent="0.75">
      <c r="A31" s="204" t="s">
        <v>259</v>
      </c>
      <c r="B31" s="315" t="s">
        <v>260</v>
      </c>
      <c r="C31" s="316"/>
      <c r="D31" s="316"/>
      <c r="E31" s="316"/>
      <c r="F31" s="316"/>
      <c r="G31" s="316"/>
      <c r="H31" s="316"/>
      <c r="I31" s="316"/>
      <c r="J31" s="316"/>
      <c r="K31" s="316"/>
      <c r="L31" s="316"/>
      <c r="M31" s="316"/>
      <c r="N31" s="316"/>
      <c r="O31" s="317"/>
    </row>
    <row r="32" spans="1:15" x14ac:dyDescent="0.75">
      <c r="A32" s="204" t="s">
        <v>261</v>
      </c>
      <c r="B32" s="342" t="s">
        <v>392</v>
      </c>
      <c r="C32" s="319"/>
      <c r="D32" s="319"/>
      <c r="E32" s="319"/>
      <c r="F32" s="319"/>
      <c r="G32" s="319"/>
      <c r="H32" s="319"/>
      <c r="I32" s="319"/>
      <c r="J32" s="319"/>
      <c r="K32" s="319"/>
      <c r="L32" s="319"/>
      <c r="M32" s="319"/>
      <c r="N32" s="319"/>
      <c r="O32" s="320"/>
    </row>
    <row r="33" spans="1:15" ht="47.25" customHeight="1" x14ac:dyDescent="0.75">
      <c r="A33" s="205" t="s">
        <v>314</v>
      </c>
      <c r="B33" s="339" t="s">
        <v>393</v>
      </c>
      <c r="C33" s="319"/>
      <c r="D33" s="319"/>
      <c r="E33" s="319"/>
      <c r="F33" s="319"/>
      <c r="G33" s="319"/>
      <c r="H33" s="319"/>
      <c r="I33" s="319"/>
      <c r="J33" s="319"/>
      <c r="K33" s="319"/>
      <c r="L33" s="319"/>
      <c r="M33" s="319"/>
      <c r="N33" s="319"/>
      <c r="O33" s="320"/>
    </row>
  </sheetData>
  <mergeCells count="56">
    <mergeCell ref="A1:O1"/>
    <mergeCell ref="B20:O20"/>
    <mergeCell ref="H14:I14"/>
    <mergeCell ref="B32:O32"/>
    <mergeCell ref="J17:K17"/>
    <mergeCell ref="B30:O30"/>
    <mergeCell ref="B24:O24"/>
    <mergeCell ref="H15:I15"/>
    <mergeCell ref="H18:I18"/>
    <mergeCell ref="A12:C12"/>
    <mergeCell ref="B31:O31"/>
    <mergeCell ref="M16:O16"/>
    <mergeCell ref="B22:O22"/>
    <mergeCell ref="A10:G10"/>
    <mergeCell ref="M15:O15"/>
    <mergeCell ref="B27:O27"/>
    <mergeCell ref="B33:O33"/>
    <mergeCell ref="J18:K18"/>
    <mergeCell ref="H11:O11"/>
    <mergeCell ref="J16:K16"/>
    <mergeCell ref="C2:G2"/>
    <mergeCell ref="B29:O29"/>
    <mergeCell ref="K2:O2"/>
    <mergeCell ref="H3:H4"/>
    <mergeCell ref="H5:H9"/>
    <mergeCell ref="H19:I19"/>
    <mergeCell ref="J3:J4"/>
    <mergeCell ref="B28:O28"/>
    <mergeCell ref="H13:O13"/>
    <mergeCell ref="H12:O12"/>
    <mergeCell ref="C3:C4"/>
    <mergeCell ref="H2:J2"/>
    <mergeCell ref="B21:O21"/>
    <mergeCell ref="A13:G19"/>
    <mergeCell ref="M18:O18"/>
    <mergeCell ref="J15:K15"/>
    <mergeCell ref="I3:I4"/>
    <mergeCell ref="M17:O17"/>
    <mergeCell ref="M19:O19"/>
    <mergeCell ref="H16:I16"/>
    <mergeCell ref="B23:O23"/>
    <mergeCell ref="A11:G11"/>
    <mergeCell ref="B26:O26"/>
    <mergeCell ref="D3:G3"/>
    <mergeCell ref="I5:I9"/>
    <mergeCell ref="D12:G12"/>
    <mergeCell ref="A3:A9"/>
    <mergeCell ref="J14:K14"/>
    <mergeCell ref="B3:B4"/>
    <mergeCell ref="K3:O9"/>
    <mergeCell ref="B25:O25"/>
    <mergeCell ref="J19:K19"/>
    <mergeCell ref="H10:O10"/>
    <mergeCell ref="H17:I17"/>
    <mergeCell ref="M14:O14"/>
    <mergeCell ref="J5:J9"/>
  </mergeCells>
  <printOptions horizontalCentered="1"/>
  <pageMargins left="0.7" right="0.7" top="0.75" bottom="0.75" header="0.511811023622047" footer="0.511811023622047"/>
  <pageSetup paperSize="9" scale="50" fitToHeight="0"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3"/>
  <sheetViews>
    <sheetView zoomScale="70" zoomScaleNormal="70" workbookViewId="0">
      <selection activeCell="A13" sqref="A13:G19"/>
    </sheetView>
  </sheetViews>
  <sheetFormatPr baseColWidth="10" defaultColWidth="11.453125" defaultRowHeight="14.75" x14ac:dyDescent="0.75"/>
  <cols>
    <col min="1" max="1" width="30.76953125" style="153" customWidth="1"/>
    <col min="2" max="2" width="15.2265625" style="153" customWidth="1"/>
    <col min="3" max="3" width="13" style="153" customWidth="1"/>
    <col min="4" max="5" width="10" style="153" customWidth="1"/>
    <col min="6" max="7" width="13" style="153" customWidth="1"/>
    <col min="8" max="8" width="23.86328125" style="153" customWidth="1"/>
    <col min="9" max="10" width="11.453125" style="153"/>
    <col min="11" max="11" width="4.453125" style="153" customWidth="1"/>
    <col min="12" max="14" width="11.453125" style="153"/>
    <col min="15" max="15" width="4.76953125" style="153" customWidth="1"/>
    <col min="16" max="16384" width="11.453125" style="153"/>
  </cols>
  <sheetData>
    <row r="1" spans="1:15" ht="18" customHeight="1" x14ac:dyDescent="0.75">
      <c r="A1" s="349" t="s">
        <v>397</v>
      </c>
      <c r="B1" s="330"/>
      <c r="C1" s="330"/>
      <c r="D1" s="330"/>
      <c r="E1" s="330"/>
      <c r="F1" s="330"/>
      <c r="G1" s="330"/>
      <c r="H1" s="330"/>
      <c r="I1" s="330"/>
      <c r="J1" s="330"/>
      <c r="K1" s="330"/>
      <c r="L1" s="330"/>
      <c r="M1" s="330"/>
      <c r="N1" s="330"/>
      <c r="O1" s="330"/>
    </row>
    <row r="2" spans="1:15" ht="30.75" customHeight="1" x14ac:dyDescent="0.75">
      <c r="A2" s="154" t="s">
        <v>214</v>
      </c>
      <c r="B2" s="154" t="s">
        <v>215</v>
      </c>
      <c r="C2" s="340" t="s">
        <v>216</v>
      </c>
      <c r="D2" s="319"/>
      <c r="E2" s="319"/>
      <c r="F2" s="319"/>
      <c r="G2" s="320"/>
      <c r="H2" s="344" t="s">
        <v>217</v>
      </c>
      <c r="I2" s="319"/>
      <c r="J2" s="320"/>
      <c r="K2" s="340" t="s">
        <v>218</v>
      </c>
      <c r="L2" s="319"/>
      <c r="M2" s="319"/>
      <c r="N2" s="319"/>
      <c r="O2" s="320"/>
    </row>
    <row r="3" spans="1:15" ht="14.25" customHeight="1" x14ac:dyDescent="0.75">
      <c r="A3" s="322" t="s">
        <v>383</v>
      </c>
      <c r="B3" s="322"/>
      <c r="C3" s="338" t="s">
        <v>219</v>
      </c>
      <c r="D3" s="322" t="s">
        <v>220</v>
      </c>
      <c r="E3" s="319"/>
      <c r="F3" s="319"/>
      <c r="G3" s="320"/>
      <c r="H3" s="338" t="s">
        <v>38</v>
      </c>
      <c r="I3" s="338" t="s">
        <v>221</v>
      </c>
      <c r="J3" s="338" t="s">
        <v>222</v>
      </c>
      <c r="K3" s="326" t="s">
        <v>384</v>
      </c>
      <c r="L3" s="327"/>
      <c r="M3" s="327"/>
      <c r="N3" s="327"/>
      <c r="O3" s="328"/>
    </row>
    <row r="4" spans="1:15" ht="22.5" customHeight="1" x14ac:dyDescent="0.75">
      <c r="A4" s="324"/>
      <c r="B4" s="325"/>
      <c r="C4" s="325"/>
      <c r="D4" s="155">
        <v>2024</v>
      </c>
      <c r="E4" s="155">
        <v>2025</v>
      </c>
      <c r="F4" s="155">
        <v>2026</v>
      </c>
      <c r="G4" s="155">
        <v>2027</v>
      </c>
      <c r="H4" s="325"/>
      <c r="I4" s="325"/>
      <c r="J4" s="325"/>
      <c r="K4" s="329"/>
      <c r="L4" s="330"/>
      <c r="M4" s="330"/>
      <c r="N4" s="330"/>
      <c r="O4" s="331"/>
    </row>
    <row r="5" spans="1:15" ht="14.25" customHeight="1" x14ac:dyDescent="0.75">
      <c r="A5" s="324"/>
      <c r="B5" s="156" t="s">
        <v>224</v>
      </c>
      <c r="C5" s="192"/>
      <c r="D5" s="192"/>
      <c r="E5" s="192"/>
      <c r="F5" s="192"/>
      <c r="G5" s="192"/>
      <c r="H5" s="341" t="s">
        <v>385</v>
      </c>
      <c r="I5" s="323" t="s">
        <v>86</v>
      </c>
      <c r="J5" s="323" t="s">
        <v>46</v>
      </c>
      <c r="K5" s="329"/>
      <c r="L5" s="330"/>
      <c r="M5" s="330"/>
      <c r="N5" s="330"/>
      <c r="O5" s="331"/>
    </row>
    <row r="6" spans="1:15" ht="15" customHeight="1" x14ac:dyDescent="0.75">
      <c r="A6" s="324"/>
      <c r="B6" s="156" t="s">
        <v>227</v>
      </c>
      <c r="C6" s="192"/>
      <c r="D6" s="192"/>
      <c r="E6" s="192"/>
      <c r="F6" s="192"/>
      <c r="G6" s="192"/>
      <c r="H6" s="324"/>
      <c r="I6" s="324"/>
      <c r="J6" s="324"/>
      <c r="K6" s="329"/>
      <c r="L6" s="330"/>
      <c r="M6" s="330"/>
      <c r="N6" s="330"/>
      <c r="O6" s="331"/>
    </row>
    <row r="7" spans="1:15" ht="15" customHeight="1" x14ac:dyDescent="0.75">
      <c r="A7" s="324"/>
      <c r="B7" s="156" t="s">
        <v>228</v>
      </c>
      <c r="C7" s="193"/>
      <c r="D7" s="193"/>
      <c r="E7" s="193"/>
      <c r="F7" s="193"/>
      <c r="G7" s="193"/>
      <c r="H7" s="324"/>
      <c r="I7" s="324"/>
      <c r="J7" s="324"/>
      <c r="K7" s="329"/>
      <c r="L7" s="330"/>
      <c r="M7" s="330"/>
      <c r="N7" s="330"/>
      <c r="O7" s="331"/>
    </row>
    <row r="8" spans="1:15" ht="15" customHeight="1" x14ac:dyDescent="0.75">
      <c r="A8" s="324"/>
      <c r="B8" s="156" t="s">
        <v>229</v>
      </c>
      <c r="C8" s="193"/>
      <c r="D8" s="193"/>
      <c r="E8" s="193"/>
      <c r="F8" s="193"/>
      <c r="G8" s="193"/>
      <c r="H8" s="324"/>
      <c r="I8" s="324"/>
      <c r="J8" s="324"/>
      <c r="K8" s="329"/>
      <c r="L8" s="330"/>
      <c r="M8" s="330"/>
      <c r="N8" s="330"/>
      <c r="O8" s="331"/>
    </row>
    <row r="9" spans="1:15" ht="15" customHeight="1" x14ac:dyDescent="0.75">
      <c r="A9" s="325"/>
      <c r="B9" s="194" t="s">
        <v>230</v>
      </c>
      <c r="C9" s="195"/>
      <c r="D9" s="196">
        <v>20000</v>
      </c>
      <c r="E9" s="196">
        <v>100000</v>
      </c>
      <c r="F9" s="196">
        <v>200000</v>
      </c>
      <c r="G9" s="196">
        <v>300000</v>
      </c>
      <c r="H9" s="325"/>
      <c r="I9" s="325"/>
      <c r="J9" s="325"/>
      <c r="K9" s="332"/>
      <c r="L9" s="333"/>
      <c r="M9" s="333"/>
      <c r="N9" s="333"/>
      <c r="O9" s="334"/>
    </row>
    <row r="10" spans="1:15" x14ac:dyDescent="0.75">
      <c r="A10" s="318" t="s">
        <v>8</v>
      </c>
      <c r="B10" s="319"/>
      <c r="C10" s="319"/>
      <c r="D10" s="319"/>
      <c r="E10" s="319"/>
      <c r="F10" s="319"/>
      <c r="G10" s="320"/>
      <c r="H10" s="326" t="s">
        <v>5</v>
      </c>
      <c r="I10" s="319"/>
      <c r="J10" s="319"/>
      <c r="K10" s="319"/>
      <c r="L10" s="319"/>
      <c r="M10" s="319"/>
      <c r="N10" s="319"/>
      <c r="O10" s="320"/>
    </row>
    <row r="11" spans="1:15" x14ac:dyDescent="0.75">
      <c r="A11" s="318" t="s">
        <v>358</v>
      </c>
      <c r="B11" s="319"/>
      <c r="C11" s="319"/>
      <c r="D11" s="319"/>
      <c r="E11" s="319"/>
      <c r="F11" s="319"/>
      <c r="G11" s="320"/>
      <c r="H11" s="326" t="s">
        <v>11</v>
      </c>
      <c r="I11" s="319"/>
      <c r="J11" s="319"/>
      <c r="K11" s="319"/>
      <c r="L11" s="319"/>
      <c r="M11" s="319"/>
      <c r="N11" s="319"/>
      <c r="O11" s="320"/>
    </row>
    <row r="12" spans="1:15" x14ac:dyDescent="0.75">
      <c r="A12" s="346" t="s">
        <v>232</v>
      </c>
      <c r="B12" s="319"/>
      <c r="C12" s="320"/>
      <c r="D12" s="322" t="str">
        <f>A3</f>
        <v>IR1.1.3</v>
      </c>
      <c r="E12" s="319"/>
      <c r="F12" s="319"/>
      <c r="G12" s="320"/>
      <c r="H12" s="343" t="s">
        <v>396</v>
      </c>
      <c r="I12" s="319"/>
      <c r="J12" s="319"/>
      <c r="K12" s="319"/>
      <c r="L12" s="319"/>
      <c r="M12" s="319"/>
      <c r="N12" s="319"/>
      <c r="O12" s="320"/>
    </row>
    <row r="13" spans="1:15" ht="14.25" customHeight="1" x14ac:dyDescent="0.75">
      <c r="A13" s="336" t="s">
        <v>398</v>
      </c>
      <c r="B13" s="327"/>
      <c r="C13" s="327"/>
      <c r="D13" s="327"/>
      <c r="E13" s="327"/>
      <c r="F13" s="327"/>
      <c r="G13" s="328"/>
      <c r="H13" s="322" t="s">
        <v>235</v>
      </c>
      <c r="I13" s="319"/>
      <c r="J13" s="319"/>
      <c r="K13" s="319"/>
      <c r="L13" s="319"/>
      <c r="M13" s="319"/>
      <c r="N13" s="319"/>
      <c r="O13" s="320"/>
    </row>
    <row r="14" spans="1:15" ht="15" customHeight="1" x14ac:dyDescent="0.75">
      <c r="A14" s="329"/>
      <c r="B14" s="330"/>
      <c r="C14" s="330"/>
      <c r="D14" s="330"/>
      <c r="E14" s="330"/>
      <c r="F14" s="330"/>
      <c r="G14" s="331"/>
      <c r="H14" s="322" t="s">
        <v>236</v>
      </c>
      <c r="I14" s="320"/>
      <c r="J14" s="322" t="s">
        <v>237</v>
      </c>
      <c r="K14" s="320"/>
      <c r="L14" s="155" t="s">
        <v>238</v>
      </c>
      <c r="M14" s="322" t="s">
        <v>272</v>
      </c>
      <c r="N14" s="319"/>
      <c r="O14" s="320"/>
    </row>
    <row r="15" spans="1:15" ht="15.75" customHeight="1" x14ac:dyDescent="0.75">
      <c r="A15" s="329"/>
      <c r="B15" s="330"/>
      <c r="C15" s="330"/>
      <c r="D15" s="330"/>
      <c r="E15" s="330"/>
      <c r="F15" s="330"/>
      <c r="G15" s="331"/>
      <c r="H15" s="335" t="s">
        <v>240</v>
      </c>
      <c r="I15" s="320"/>
      <c r="J15" s="323"/>
      <c r="K15" s="320"/>
      <c r="L15" s="197" t="str">
        <f>IFERROR(J15/M15,"")</f>
        <v/>
      </c>
      <c r="M15" s="335">
        <f>C9</f>
        <v>0</v>
      </c>
      <c r="N15" s="319"/>
      <c r="O15" s="320"/>
    </row>
    <row r="16" spans="1:15" ht="15.75" customHeight="1" x14ac:dyDescent="0.75">
      <c r="A16" s="329"/>
      <c r="B16" s="330"/>
      <c r="C16" s="330"/>
      <c r="D16" s="330"/>
      <c r="E16" s="330"/>
      <c r="F16" s="330"/>
      <c r="G16" s="331"/>
      <c r="H16" s="335">
        <v>2024</v>
      </c>
      <c r="I16" s="320"/>
      <c r="J16" s="335"/>
      <c r="K16" s="320"/>
      <c r="L16" s="197">
        <f>IFERROR(J16/M16,"")</f>
        <v>0</v>
      </c>
      <c r="M16" s="337">
        <f>D9</f>
        <v>20000</v>
      </c>
      <c r="N16" s="319"/>
      <c r="O16" s="320"/>
    </row>
    <row r="17" spans="1:15" ht="15.75" customHeight="1" x14ac:dyDescent="0.75">
      <c r="A17" s="329"/>
      <c r="B17" s="330"/>
      <c r="C17" s="330"/>
      <c r="D17" s="330"/>
      <c r="E17" s="330"/>
      <c r="F17" s="330"/>
      <c r="G17" s="331"/>
      <c r="H17" s="335">
        <v>2025</v>
      </c>
      <c r="I17" s="320"/>
      <c r="J17" s="335"/>
      <c r="K17" s="320"/>
      <c r="L17" s="197">
        <f>IFERROR(J17/M17,"")</f>
        <v>0</v>
      </c>
      <c r="M17" s="337">
        <f>E9</f>
        <v>100000</v>
      </c>
      <c r="N17" s="319"/>
      <c r="O17" s="320"/>
    </row>
    <row r="18" spans="1:15" ht="15.75" customHeight="1" x14ac:dyDescent="0.75">
      <c r="A18" s="329"/>
      <c r="B18" s="330"/>
      <c r="C18" s="330"/>
      <c r="D18" s="330"/>
      <c r="E18" s="330"/>
      <c r="F18" s="330"/>
      <c r="G18" s="331"/>
      <c r="H18" s="335">
        <v>2026</v>
      </c>
      <c r="I18" s="320"/>
      <c r="J18" s="335"/>
      <c r="K18" s="320"/>
      <c r="L18" s="197">
        <f>IFERROR(J18/M18,"")</f>
        <v>0</v>
      </c>
      <c r="M18" s="337">
        <f>F9</f>
        <v>200000</v>
      </c>
      <c r="N18" s="319"/>
      <c r="O18" s="320"/>
    </row>
    <row r="19" spans="1:15" ht="15.75" customHeight="1" x14ac:dyDescent="0.75">
      <c r="A19" s="332"/>
      <c r="B19" s="333"/>
      <c r="C19" s="333"/>
      <c r="D19" s="333"/>
      <c r="E19" s="333"/>
      <c r="F19" s="333"/>
      <c r="G19" s="334"/>
      <c r="H19" s="335">
        <v>2027</v>
      </c>
      <c r="I19" s="320"/>
      <c r="J19" s="335"/>
      <c r="K19" s="320"/>
      <c r="L19" s="197">
        <f>IFERROR(J19/M19,"")</f>
        <v>0</v>
      </c>
      <c r="M19" s="337">
        <f>G9</f>
        <v>300000</v>
      </c>
      <c r="N19" s="319"/>
      <c r="O19" s="320"/>
    </row>
    <row r="20" spans="1:15" x14ac:dyDescent="0.75">
      <c r="A20" s="198" t="s">
        <v>302</v>
      </c>
      <c r="B20" s="348" t="s">
        <v>346</v>
      </c>
      <c r="C20" s="319"/>
      <c r="D20" s="319"/>
      <c r="E20" s="319"/>
      <c r="F20" s="319"/>
      <c r="G20" s="319"/>
      <c r="H20" s="319"/>
      <c r="I20" s="319"/>
      <c r="J20" s="319"/>
      <c r="K20" s="319"/>
      <c r="L20" s="319"/>
      <c r="M20" s="319"/>
      <c r="N20" s="319"/>
      <c r="O20" s="320"/>
    </row>
    <row r="21" spans="1:15" x14ac:dyDescent="0.75">
      <c r="A21" s="198" t="s">
        <v>242</v>
      </c>
      <c r="B21" s="348" t="s">
        <v>5</v>
      </c>
      <c r="C21" s="319"/>
      <c r="D21" s="319"/>
      <c r="E21" s="319"/>
      <c r="F21" s="319"/>
      <c r="G21" s="319"/>
      <c r="H21" s="319"/>
      <c r="I21" s="319"/>
      <c r="J21" s="319"/>
      <c r="K21" s="319"/>
      <c r="L21" s="319"/>
      <c r="M21" s="319"/>
      <c r="N21" s="319"/>
      <c r="O21" s="320"/>
    </row>
    <row r="22" spans="1:15" x14ac:dyDescent="0.75">
      <c r="A22" s="198" t="s">
        <v>243</v>
      </c>
      <c r="B22" s="348" t="s">
        <v>387</v>
      </c>
      <c r="C22" s="319"/>
      <c r="D22" s="319"/>
      <c r="E22" s="319"/>
      <c r="F22" s="319"/>
      <c r="G22" s="319"/>
      <c r="H22" s="319"/>
      <c r="I22" s="319"/>
      <c r="J22" s="319"/>
      <c r="K22" s="319"/>
      <c r="L22" s="319"/>
      <c r="M22" s="319"/>
      <c r="N22" s="319"/>
      <c r="O22" s="320"/>
    </row>
    <row r="23" spans="1:15" x14ac:dyDescent="0.75">
      <c r="A23" s="198" t="s">
        <v>276</v>
      </c>
      <c r="B23" s="348" t="s">
        <v>384</v>
      </c>
      <c r="C23" s="319"/>
      <c r="D23" s="319"/>
      <c r="E23" s="319"/>
      <c r="F23" s="319"/>
      <c r="G23" s="319"/>
      <c r="H23" s="319"/>
      <c r="I23" s="319"/>
      <c r="J23" s="319"/>
      <c r="K23" s="319"/>
      <c r="L23" s="319"/>
      <c r="M23" s="319"/>
      <c r="N23" s="319"/>
      <c r="O23" s="320"/>
    </row>
    <row r="24" spans="1:15" x14ac:dyDescent="0.75">
      <c r="A24" s="198" t="s">
        <v>278</v>
      </c>
      <c r="B24" s="347" t="s">
        <v>293</v>
      </c>
      <c r="C24" s="319"/>
      <c r="D24" s="319"/>
      <c r="E24" s="319"/>
      <c r="F24" s="319"/>
      <c r="G24" s="319"/>
      <c r="H24" s="319"/>
      <c r="I24" s="319"/>
      <c r="J24" s="319"/>
      <c r="K24" s="319"/>
      <c r="L24" s="319"/>
      <c r="M24" s="319"/>
      <c r="N24" s="319"/>
      <c r="O24" s="320"/>
    </row>
    <row r="25" spans="1:15" x14ac:dyDescent="0.75">
      <c r="A25" s="198" t="s">
        <v>306</v>
      </c>
      <c r="B25" s="347" t="s">
        <v>280</v>
      </c>
      <c r="C25" s="319"/>
      <c r="D25" s="319"/>
      <c r="E25" s="319"/>
      <c r="F25" s="319"/>
      <c r="G25" s="319"/>
      <c r="H25" s="319"/>
      <c r="I25" s="319"/>
      <c r="J25" s="319"/>
      <c r="K25" s="319"/>
      <c r="L25" s="319"/>
      <c r="M25" s="319"/>
      <c r="N25" s="319"/>
      <c r="O25" s="320"/>
    </row>
    <row r="26" spans="1:15" x14ac:dyDescent="0.75">
      <c r="A26" s="198" t="s">
        <v>251</v>
      </c>
      <c r="B26" s="347" t="s">
        <v>388</v>
      </c>
      <c r="C26" s="319"/>
      <c r="D26" s="319"/>
      <c r="E26" s="319"/>
      <c r="F26" s="319"/>
      <c r="G26" s="319"/>
      <c r="H26" s="319"/>
      <c r="I26" s="319"/>
      <c r="J26" s="319"/>
      <c r="K26" s="319"/>
      <c r="L26" s="319"/>
      <c r="M26" s="319"/>
      <c r="N26" s="319"/>
      <c r="O26" s="320"/>
    </row>
    <row r="27" spans="1:15" x14ac:dyDescent="0.75">
      <c r="A27" s="198" t="s">
        <v>253</v>
      </c>
      <c r="B27" s="347" t="s">
        <v>389</v>
      </c>
      <c r="C27" s="319"/>
      <c r="D27" s="319"/>
      <c r="E27" s="319"/>
      <c r="F27" s="319"/>
      <c r="G27" s="319"/>
      <c r="H27" s="319"/>
      <c r="I27" s="319"/>
      <c r="J27" s="319"/>
      <c r="K27" s="319"/>
      <c r="L27" s="319"/>
      <c r="M27" s="319"/>
      <c r="N27" s="319"/>
      <c r="O27" s="320"/>
    </row>
    <row r="28" spans="1:15" x14ac:dyDescent="0.75">
      <c r="A28" s="198" t="s">
        <v>283</v>
      </c>
      <c r="B28" s="342" t="s">
        <v>390</v>
      </c>
      <c r="C28" s="319"/>
      <c r="D28" s="319"/>
      <c r="E28" s="319"/>
      <c r="F28" s="319"/>
      <c r="G28" s="319"/>
      <c r="H28" s="319"/>
      <c r="I28" s="319"/>
      <c r="J28" s="319"/>
      <c r="K28" s="319"/>
      <c r="L28" s="319"/>
      <c r="M28" s="319"/>
      <c r="N28" s="319"/>
      <c r="O28" s="320"/>
    </row>
    <row r="29" spans="1:15" x14ac:dyDescent="0.75">
      <c r="A29" s="198" t="s">
        <v>257</v>
      </c>
      <c r="B29" s="348" t="s">
        <v>391</v>
      </c>
      <c r="C29" s="319"/>
      <c r="D29" s="319"/>
      <c r="E29" s="319"/>
      <c r="F29" s="319"/>
      <c r="G29" s="319"/>
      <c r="H29" s="319"/>
      <c r="I29" s="319"/>
      <c r="J29" s="319"/>
      <c r="K29" s="319"/>
      <c r="L29" s="319"/>
      <c r="M29" s="319"/>
      <c r="N29" s="319"/>
      <c r="O29" s="320"/>
    </row>
    <row r="30" spans="1:15" x14ac:dyDescent="0.75">
      <c r="A30" s="198" t="s">
        <v>258</v>
      </c>
      <c r="B30" s="342" t="s">
        <v>385</v>
      </c>
      <c r="C30" s="319"/>
      <c r="D30" s="319"/>
      <c r="E30" s="319"/>
      <c r="F30" s="319"/>
      <c r="G30" s="319"/>
      <c r="H30" s="319"/>
      <c r="I30" s="319"/>
      <c r="J30" s="319"/>
      <c r="K30" s="319"/>
      <c r="L30" s="319"/>
      <c r="M30" s="319"/>
      <c r="N30" s="319"/>
      <c r="O30" s="320"/>
    </row>
    <row r="31" spans="1:15" x14ac:dyDescent="0.75">
      <c r="A31" s="198" t="s">
        <v>259</v>
      </c>
      <c r="B31" s="348" t="s">
        <v>260</v>
      </c>
      <c r="C31" s="319"/>
      <c r="D31" s="319"/>
      <c r="E31" s="319"/>
      <c r="F31" s="319"/>
      <c r="G31" s="319"/>
      <c r="H31" s="319"/>
      <c r="I31" s="319"/>
      <c r="J31" s="319"/>
      <c r="K31" s="319"/>
      <c r="L31" s="319"/>
      <c r="M31" s="319"/>
      <c r="N31" s="319"/>
      <c r="O31" s="320"/>
    </row>
    <row r="32" spans="1:15" x14ac:dyDescent="0.75">
      <c r="A32" s="198" t="s">
        <v>261</v>
      </c>
      <c r="B32" s="342" t="s">
        <v>392</v>
      </c>
      <c r="C32" s="319"/>
      <c r="D32" s="319"/>
      <c r="E32" s="319"/>
      <c r="F32" s="319"/>
      <c r="G32" s="319"/>
      <c r="H32" s="319"/>
      <c r="I32" s="319"/>
      <c r="J32" s="319"/>
      <c r="K32" s="319"/>
      <c r="L32" s="319"/>
      <c r="M32" s="319"/>
      <c r="N32" s="319"/>
      <c r="O32" s="320"/>
    </row>
    <row r="33" spans="1:15" ht="29.5" x14ac:dyDescent="0.75">
      <c r="A33" s="199" t="s">
        <v>314</v>
      </c>
      <c r="B33" s="339" t="s">
        <v>393</v>
      </c>
      <c r="C33" s="319"/>
      <c r="D33" s="319"/>
      <c r="E33" s="319"/>
      <c r="F33" s="319"/>
      <c r="G33" s="319"/>
      <c r="H33" s="319"/>
      <c r="I33" s="319"/>
      <c r="J33" s="319"/>
      <c r="K33" s="319"/>
      <c r="L33" s="319"/>
      <c r="M33" s="319"/>
      <c r="N33" s="319"/>
      <c r="O33" s="320"/>
    </row>
  </sheetData>
  <mergeCells count="56">
    <mergeCell ref="B33:O33"/>
    <mergeCell ref="A1:O1"/>
    <mergeCell ref="J18:K18"/>
    <mergeCell ref="B20:O20"/>
    <mergeCell ref="H14:I14"/>
    <mergeCell ref="B32:O32"/>
    <mergeCell ref="J17:K17"/>
    <mergeCell ref="B29:O29"/>
    <mergeCell ref="J3:J4"/>
    <mergeCell ref="H19:I19"/>
    <mergeCell ref="B28:O28"/>
    <mergeCell ref="H13:O13"/>
    <mergeCell ref="H12:O12"/>
    <mergeCell ref="C3:C4"/>
    <mergeCell ref="B24:O24"/>
    <mergeCell ref="C2:G2"/>
    <mergeCell ref="J16:K16"/>
    <mergeCell ref="K2:O2"/>
    <mergeCell ref="H3:H4"/>
    <mergeCell ref="H5:H9"/>
    <mergeCell ref="H2:J2"/>
    <mergeCell ref="M16:O16"/>
    <mergeCell ref="I3:I4"/>
    <mergeCell ref="H15:I15"/>
    <mergeCell ref="H18:I18"/>
    <mergeCell ref="B31:O31"/>
    <mergeCell ref="A12:C12"/>
    <mergeCell ref="B22:O22"/>
    <mergeCell ref="A10:G10"/>
    <mergeCell ref="M15:O15"/>
    <mergeCell ref="B27:O27"/>
    <mergeCell ref="B21:O21"/>
    <mergeCell ref="A13:G19"/>
    <mergeCell ref="M18:O18"/>
    <mergeCell ref="J15:K15"/>
    <mergeCell ref="M17:O17"/>
    <mergeCell ref="B23:O23"/>
    <mergeCell ref="A11:G11"/>
    <mergeCell ref="B26:O26"/>
    <mergeCell ref="B30:O30"/>
    <mergeCell ref="A3:A9"/>
    <mergeCell ref="B3:B4"/>
    <mergeCell ref="J14:K14"/>
    <mergeCell ref="B25:O25"/>
    <mergeCell ref="J19:K19"/>
    <mergeCell ref="H10:O10"/>
    <mergeCell ref="H17:I17"/>
    <mergeCell ref="M14:O14"/>
    <mergeCell ref="J5:J9"/>
    <mergeCell ref="M19:O19"/>
    <mergeCell ref="H16:I16"/>
    <mergeCell ref="H11:O11"/>
    <mergeCell ref="D3:G3"/>
    <mergeCell ref="I5:I9"/>
    <mergeCell ref="D12:G12"/>
    <mergeCell ref="K3:O9"/>
  </mergeCells>
  <printOptions horizontalCentered="1"/>
  <pageMargins left="0.7" right="0.7" top="0.75" bottom="0.75" header="0.511811023622047" footer="0.511811023622047"/>
  <pageSetup paperSize="9" scale="50" fitToHeight="0" orientation="landscape"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pageSetUpPr fitToPage="1"/>
  </sheetPr>
  <dimension ref="A1:O33"/>
  <sheetViews>
    <sheetView zoomScale="46" zoomScaleNormal="55" workbookViewId="0">
      <selection sqref="A1:O1"/>
    </sheetView>
  </sheetViews>
  <sheetFormatPr baseColWidth="10" defaultColWidth="11.453125" defaultRowHeight="14.75" x14ac:dyDescent="0.75"/>
  <cols>
    <col min="1" max="1" width="35.2265625" style="124" customWidth="1"/>
    <col min="2" max="2" width="14.76953125" style="124" customWidth="1"/>
    <col min="3" max="3" width="13" style="124" customWidth="1"/>
    <col min="4" max="4" width="10" style="124" customWidth="1"/>
    <col min="5" max="5" width="13" style="124" customWidth="1"/>
    <col min="6" max="6" width="10" style="124" customWidth="1"/>
    <col min="7" max="7" width="13" style="124" customWidth="1"/>
    <col min="8" max="8" width="16.54296875" style="124" customWidth="1"/>
    <col min="11" max="11" width="3" style="124" customWidth="1"/>
    <col min="15" max="15" width="5.2265625" style="124" customWidth="1"/>
  </cols>
  <sheetData>
    <row r="1" spans="1:15" ht="18" customHeight="1" x14ac:dyDescent="0.75">
      <c r="A1" s="272" t="s">
        <v>399</v>
      </c>
      <c r="B1" s="207"/>
      <c r="C1" s="207"/>
      <c r="D1" s="207"/>
      <c r="E1" s="207"/>
      <c r="F1" s="207"/>
      <c r="G1" s="207"/>
      <c r="H1" s="207"/>
      <c r="I1" s="207"/>
      <c r="J1" s="207"/>
      <c r="K1" s="207"/>
      <c r="L1" s="207"/>
      <c r="M1" s="207"/>
      <c r="N1" s="207"/>
      <c r="O1" s="207"/>
    </row>
    <row r="2" spans="1:15" ht="38.25" customHeight="1" x14ac:dyDescent="0.75">
      <c r="A2" s="126" t="s">
        <v>214</v>
      </c>
      <c r="B2" s="126" t="s">
        <v>215</v>
      </c>
      <c r="C2" s="261" t="s">
        <v>216</v>
      </c>
      <c r="D2" s="210"/>
      <c r="E2" s="210"/>
      <c r="F2" s="210"/>
      <c r="G2" s="211"/>
      <c r="H2" s="264" t="s">
        <v>217</v>
      </c>
      <c r="I2" s="210"/>
      <c r="J2" s="211"/>
      <c r="K2" s="261" t="s">
        <v>218</v>
      </c>
      <c r="L2" s="210"/>
      <c r="M2" s="210"/>
      <c r="N2" s="210"/>
      <c r="O2" s="211"/>
    </row>
    <row r="3" spans="1:15" ht="14.25" customHeight="1" x14ac:dyDescent="0.75">
      <c r="A3" s="240" t="s">
        <v>83</v>
      </c>
      <c r="B3" s="240"/>
      <c r="C3" s="254" t="s">
        <v>219</v>
      </c>
      <c r="D3" s="240" t="s">
        <v>220</v>
      </c>
      <c r="E3" s="210"/>
      <c r="F3" s="210"/>
      <c r="G3" s="211"/>
      <c r="H3" s="254" t="s">
        <v>38</v>
      </c>
      <c r="I3" s="254" t="s">
        <v>221</v>
      </c>
      <c r="J3" s="254" t="s">
        <v>222</v>
      </c>
      <c r="K3" s="251" t="s">
        <v>400</v>
      </c>
      <c r="L3" s="242"/>
      <c r="M3" s="242"/>
      <c r="N3" s="242"/>
      <c r="O3" s="243"/>
    </row>
    <row r="4" spans="1:15" ht="25.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57"/>
      <c r="D5" s="57"/>
      <c r="E5" s="57"/>
      <c r="F5" s="57"/>
      <c r="G5" s="57"/>
      <c r="H5" s="262" t="s">
        <v>298</v>
      </c>
      <c r="I5" s="251" t="s">
        <v>401</v>
      </c>
      <c r="J5" s="251" t="s">
        <v>402</v>
      </c>
      <c r="K5" s="244"/>
      <c r="L5" s="207"/>
      <c r="M5" s="207"/>
      <c r="N5" s="207"/>
      <c r="O5" s="245"/>
    </row>
    <row r="6" spans="1:15" ht="15" customHeight="1" x14ac:dyDescent="0.75">
      <c r="A6" s="224"/>
      <c r="B6" s="130" t="s">
        <v>227</v>
      </c>
      <c r="C6" s="57"/>
      <c r="D6" s="57"/>
      <c r="E6" s="57"/>
      <c r="F6" s="57"/>
      <c r="G6" s="57"/>
      <c r="H6" s="224"/>
      <c r="I6" s="224"/>
      <c r="J6" s="224"/>
      <c r="K6" s="244"/>
      <c r="L6" s="207"/>
      <c r="M6" s="207"/>
      <c r="N6" s="207"/>
      <c r="O6" s="245"/>
    </row>
    <row r="7" spans="1:15" ht="15" customHeight="1" x14ac:dyDescent="0.75">
      <c r="A7" s="224"/>
      <c r="B7" s="130" t="s">
        <v>228</v>
      </c>
      <c r="C7" s="58"/>
      <c r="D7" s="58"/>
      <c r="E7" s="58"/>
      <c r="F7" s="58"/>
      <c r="G7" s="58"/>
      <c r="H7" s="224"/>
      <c r="I7" s="224"/>
      <c r="J7" s="224"/>
      <c r="K7" s="244"/>
      <c r="L7" s="207"/>
      <c r="M7" s="207"/>
      <c r="N7" s="207"/>
      <c r="O7" s="245"/>
    </row>
    <row r="8" spans="1:15" ht="15" customHeight="1" x14ac:dyDescent="0.75">
      <c r="A8" s="224"/>
      <c r="B8" s="130" t="s">
        <v>229</v>
      </c>
      <c r="C8" s="58"/>
      <c r="D8" s="58"/>
      <c r="E8" s="58"/>
      <c r="F8" s="58"/>
      <c r="G8" s="58"/>
      <c r="H8" s="224"/>
      <c r="I8" s="224"/>
      <c r="J8" s="224"/>
      <c r="K8" s="244"/>
      <c r="L8" s="207"/>
      <c r="M8" s="207"/>
      <c r="N8" s="207"/>
      <c r="O8" s="245"/>
    </row>
    <row r="9" spans="1:15" ht="15" customHeight="1" x14ac:dyDescent="0.75">
      <c r="A9" s="213"/>
      <c r="B9" s="59" t="s">
        <v>230</v>
      </c>
      <c r="C9" s="60"/>
      <c r="D9" s="61">
        <v>10000</v>
      </c>
      <c r="E9" s="61">
        <v>50000</v>
      </c>
      <c r="F9" s="61">
        <v>100000</v>
      </c>
      <c r="G9" s="61">
        <v>150000</v>
      </c>
      <c r="H9" s="213"/>
      <c r="I9" s="213"/>
      <c r="J9" s="213"/>
      <c r="K9" s="246"/>
      <c r="L9" s="216"/>
      <c r="M9" s="216"/>
      <c r="N9" s="216"/>
      <c r="O9" s="247"/>
    </row>
    <row r="10" spans="1:15" ht="47.25" customHeight="1" x14ac:dyDescent="0.75">
      <c r="A10" s="258" t="s">
        <v>8</v>
      </c>
      <c r="B10" s="210"/>
      <c r="C10" s="210"/>
      <c r="D10" s="210"/>
      <c r="E10" s="210"/>
      <c r="F10" s="210"/>
      <c r="G10" s="211"/>
      <c r="H10" s="251" t="s">
        <v>403</v>
      </c>
      <c r="I10" s="210"/>
      <c r="J10" s="210"/>
      <c r="K10" s="210"/>
      <c r="L10" s="210"/>
      <c r="M10" s="210"/>
      <c r="N10" s="210"/>
      <c r="O10" s="211"/>
    </row>
    <row r="11" spans="1:15" ht="47.25" customHeight="1" x14ac:dyDescent="0.75">
      <c r="A11" s="258" t="s">
        <v>358</v>
      </c>
      <c r="B11" s="210"/>
      <c r="C11" s="210"/>
      <c r="D11" s="210"/>
      <c r="E11" s="210"/>
      <c r="F11" s="210"/>
      <c r="G11" s="211"/>
      <c r="H11" s="250" t="s">
        <v>11</v>
      </c>
      <c r="I11" s="210"/>
      <c r="J11" s="210"/>
      <c r="K11" s="210"/>
      <c r="L11" s="210"/>
      <c r="M11" s="210"/>
      <c r="N11" s="210"/>
      <c r="O11" s="211"/>
    </row>
    <row r="12" spans="1:15" ht="34.5" customHeight="1" x14ac:dyDescent="0.75">
      <c r="A12" s="263" t="s">
        <v>232</v>
      </c>
      <c r="B12" s="210"/>
      <c r="C12" s="211"/>
      <c r="D12" s="240" t="str">
        <f>A3</f>
        <v>IR1.1.4</v>
      </c>
      <c r="E12" s="210"/>
      <c r="F12" s="210"/>
      <c r="G12" s="211"/>
      <c r="H12" s="253" t="s">
        <v>84</v>
      </c>
      <c r="I12" s="210"/>
      <c r="J12" s="210"/>
      <c r="K12" s="210"/>
      <c r="L12" s="210"/>
      <c r="M12" s="210"/>
      <c r="N12" s="210"/>
      <c r="O12" s="211"/>
    </row>
    <row r="13" spans="1:15" ht="14.25" customHeight="1" x14ac:dyDescent="0.75">
      <c r="A13" s="312" t="s">
        <v>404</v>
      </c>
      <c r="B13" s="242"/>
      <c r="C13" s="242"/>
      <c r="D13" s="242"/>
      <c r="E13" s="242"/>
      <c r="F13" s="242"/>
      <c r="G13" s="243"/>
      <c r="H13" s="240" t="s">
        <v>320</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t="s">
        <v>238</v>
      </c>
      <c r="M14" s="240" t="s">
        <v>272</v>
      </c>
      <c r="N14" s="210"/>
      <c r="O14" s="211"/>
    </row>
    <row r="15" spans="1:15" ht="15.75" customHeight="1" x14ac:dyDescent="0.75">
      <c r="A15" s="244"/>
      <c r="B15" s="207"/>
      <c r="C15" s="207"/>
      <c r="D15" s="207"/>
      <c r="E15" s="207"/>
      <c r="F15" s="207"/>
      <c r="G15" s="245"/>
      <c r="H15" s="252" t="s">
        <v>240</v>
      </c>
      <c r="I15" s="211"/>
      <c r="J15" s="241"/>
      <c r="K15" s="211"/>
      <c r="L15" s="149" t="str">
        <f>IFERROR(J15/M15,"")</f>
        <v/>
      </c>
      <c r="M15" s="252"/>
      <c r="N15" s="210"/>
      <c r="O15" s="211"/>
    </row>
    <row r="16" spans="1:15" ht="15.75" customHeight="1" x14ac:dyDescent="0.75">
      <c r="A16" s="244"/>
      <c r="B16" s="207"/>
      <c r="C16" s="207"/>
      <c r="D16" s="207"/>
      <c r="E16" s="207"/>
      <c r="F16" s="207"/>
      <c r="G16" s="245"/>
      <c r="H16" s="252">
        <v>2024</v>
      </c>
      <c r="I16" s="211"/>
      <c r="J16" s="252"/>
      <c r="K16" s="211"/>
      <c r="L16" s="149">
        <f>IFERROR(J16/M16,"")</f>
        <v>0</v>
      </c>
      <c r="M16" s="269">
        <f>D9</f>
        <v>10000</v>
      </c>
      <c r="N16" s="210"/>
      <c r="O16" s="211"/>
    </row>
    <row r="17" spans="1:15" ht="15.75" customHeight="1" x14ac:dyDescent="0.75">
      <c r="A17" s="244"/>
      <c r="B17" s="207"/>
      <c r="C17" s="207"/>
      <c r="D17" s="207"/>
      <c r="E17" s="207"/>
      <c r="F17" s="207"/>
      <c r="G17" s="245"/>
      <c r="H17" s="252">
        <v>2025</v>
      </c>
      <c r="I17" s="211"/>
      <c r="J17" s="252"/>
      <c r="K17" s="211"/>
      <c r="L17" s="149">
        <f>IFERROR(J17/M17,"")</f>
        <v>0</v>
      </c>
      <c r="M17" s="269">
        <f>E9</f>
        <v>50000</v>
      </c>
      <c r="N17" s="210"/>
      <c r="O17" s="211"/>
    </row>
    <row r="18" spans="1:15" ht="15.75" customHeight="1" x14ac:dyDescent="0.75">
      <c r="A18" s="244"/>
      <c r="B18" s="207"/>
      <c r="C18" s="207"/>
      <c r="D18" s="207"/>
      <c r="E18" s="207"/>
      <c r="F18" s="207"/>
      <c r="G18" s="245"/>
      <c r="H18" s="252">
        <v>2026</v>
      </c>
      <c r="I18" s="211"/>
      <c r="J18" s="252"/>
      <c r="K18" s="211"/>
      <c r="L18" s="149">
        <f>IFERROR(J18/M18,"")</f>
        <v>0</v>
      </c>
      <c r="M18" s="269">
        <f>F9</f>
        <v>100000</v>
      </c>
      <c r="N18" s="210"/>
      <c r="O18" s="211"/>
    </row>
    <row r="19" spans="1:15" ht="15.75" customHeight="1" x14ac:dyDescent="0.75">
      <c r="A19" s="246"/>
      <c r="B19" s="216"/>
      <c r="C19" s="216"/>
      <c r="D19" s="216"/>
      <c r="E19" s="216"/>
      <c r="F19" s="216"/>
      <c r="G19" s="247"/>
      <c r="H19" s="252">
        <v>2027</v>
      </c>
      <c r="I19" s="211"/>
      <c r="J19" s="252"/>
      <c r="K19" s="211"/>
      <c r="L19" s="149">
        <f>IFERROR(J19/M19,"")</f>
        <v>0</v>
      </c>
      <c r="M19" s="269">
        <f>G9</f>
        <v>150000</v>
      </c>
      <c r="N19" s="210"/>
      <c r="O19" s="211"/>
    </row>
    <row r="20" spans="1:15" ht="40" customHeight="1" x14ac:dyDescent="0.75">
      <c r="A20" s="54" t="s">
        <v>241</v>
      </c>
      <c r="B20" s="257" t="s">
        <v>405</v>
      </c>
      <c r="C20" s="210"/>
      <c r="D20" s="210"/>
      <c r="E20" s="210"/>
      <c r="F20" s="210"/>
      <c r="G20" s="210"/>
      <c r="H20" s="210"/>
      <c r="I20" s="210"/>
      <c r="J20" s="210"/>
      <c r="K20" s="210"/>
      <c r="L20" s="210"/>
      <c r="M20" s="210"/>
      <c r="N20" s="210"/>
      <c r="O20" s="211"/>
    </row>
    <row r="21" spans="1:15" ht="40" customHeight="1" x14ac:dyDescent="0.75">
      <c r="A21" s="54" t="s">
        <v>242</v>
      </c>
      <c r="B21" s="257" t="s">
        <v>403</v>
      </c>
      <c r="C21" s="210"/>
      <c r="D21" s="210"/>
      <c r="E21" s="210"/>
      <c r="F21" s="210"/>
      <c r="G21" s="210"/>
      <c r="H21" s="210"/>
      <c r="I21" s="210"/>
      <c r="J21" s="210"/>
      <c r="K21" s="210"/>
      <c r="L21" s="210"/>
      <c r="M21" s="210"/>
      <c r="N21" s="210"/>
      <c r="O21" s="211"/>
    </row>
    <row r="22" spans="1:15" ht="40" customHeight="1" x14ac:dyDescent="0.75">
      <c r="A22" s="54" t="s">
        <v>243</v>
      </c>
      <c r="B22" s="257" t="s">
        <v>406</v>
      </c>
      <c r="C22" s="210"/>
      <c r="D22" s="210"/>
      <c r="E22" s="210"/>
      <c r="F22" s="210"/>
      <c r="G22" s="210"/>
      <c r="H22" s="210"/>
      <c r="I22" s="210"/>
      <c r="J22" s="210"/>
      <c r="K22" s="210"/>
      <c r="L22" s="210"/>
      <c r="M22" s="210"/>
      <c r="N22" s="210"/>
      <c r="O22" s="211"/>
    </row>
    <row r="23" spans="1:15" ht="40" customHeight="1" x14ac:dyDescent="0.75">
      <c r="A23" s="54" t="s">
        <v>276</v>
      </c>
      <c r="B23" s="257" t="s">
        <v>400</v>
      </c>
      <c r="C23" s="210"/>
      <c r="D23" s="210"/>
      <c r="E23" s="210"/>
      <c r="F23" s="210"/>
      <c r="G23" s="210"/>
      <c r="H23" s="210"/>
      <c r="I23" s="210"/>
      <c r="J23" s="210"/>
      <c r="K23" s="210"/>
      <c r="L23" s="210"/>
      <c r="M23" s="210"/>
      <c r="N23" s="210"/>
      <c r="O23" s="211"/>
    </row>
    <row r="24" spans="1:15" ht="28" customHeight="1" x14ac:dyDescent="0.75">
      <c r="A24" s="54" t="s">
        <v>278</v>
      </c>
      <c r="B24" s="257" t="s">
        <v>407</v>
      </c>
      <c r="C24" s="210"/>
      <c r="D24" s="210"/>
      <c r="E24" s="210"/>
      <c r="F24" s="210"/>
      <c r="G24" s="210"/>
      <c r="H24" s="210"/>
      <c r="I24" s="210"/>
      <c r="J24" s="210"/>
      <c r="K24" s="210"/>
      <c r="L24" s="210"/>
      <c r="M24" s="210"/>
      <c r="N24" s="210"/>
      <c r="O24" s="211"/>
    </row>
    <row r="25" spans="1:15" ht="40" customHeight="1" x14ac:dyDescent="0.75">
      <c r="A25" s="54" t="s">
        <v>306</v>
      </c>
      <c r="B25" s="257" t="s">
        <v>408</v>
      </c>
      <c r="C25" s="210"/>
      <c r="D25" s="210"/>
      <c r="E25" s="210"/>
      <c r="F25" s="210"/>
      <c r="G25" s="210"/>
      <c r="H25" s="210"/>
      <c r="I25" s="210"/>
      <c r="J25" s="210"/>
      <c r="K25" s="210"/>
      <c r="L25" s="210"/>
      <c r="M25" s="210"/>
      <c r="N25" s="210"/>
      <c r="O25" s="211"/>
    </row>
    <row r="26" spans="1:15" ht="40" customHeight="1" x14ac:dyDescent="0.75">
      <c r="A26" s="54" t="s">
        <v>251</v>
      </c>
      <c r="B26" s="257" t="s">
        <v>409</v>
      </c>
      <c r="C26" s="210"/>
      <c r="D26" s="210"/>
      <c r="E26" s="210"/>
      <c r="F26" s="210"/>
      <c r="G26" s="210"/>
      <c r="H26" s="210"/>
      <c r="I26" s="210"/>
      <c r="J26" s="210"/>
      <c r="K26" s="210"/>
      <c r="L26" s="210"/>
      <c r="M26" s="210"/>
      <c r="N26" s="210"/>
      <c r="O26" s="211"/>
    </row>
    <row r="27" spans="1:15" ht="40" customHeight="1" x14ac:dyDescent="0.75">
      <c r="A27" s="54" t="s">
        <v>253</v>
      </c>
      <c r="B27" s="257" t="s">
        <v>410</v>
      </c>
      <c r="C27" s="210"/>
      <c r="D27" s="210"/>
      <c r="E27" s="210"/>
      <c r="F27" s="210"/>
      <c r="G27" s="210"/>
      <c r="H27" s="210"/>
      <c r="I27" s="210"/>
      <c r="J27" s="210"/>
      <c r="K27" s="210"/>
      <c r="L27" s="210"/>
      <c r="M27" s="210"/>
      <c r="N27" s="210"/>
      <c r="O27" s="211"/>
    </row>
    <row r="28" spans="1:15" ht="28" customHeight="1" x14ac:dyDescent="0.75">
      <c r="A28" s="54" t="s">
        <v>283</v>
      </c>
      <c r="B28" s="257" t="s">
        <v>401</v>
      </c>
      <c r="C28" s="210"/>
      <c r="D28" s="210"/>
      <c r="E28" s="210"/>
      <c r="F28" s="210"/>
      <c r="G28" s="210"/>
      <c r="H28" s="210"/>
      <c r="I28" s="210"/>
      <c r="J28" s="210"/>
      <c r="K28" s="210"/>
      <c r="L28" s="210"/>
      <c r="M28" s="210"/>
      <c r="N28" s="210"/>
      <c r="O28" s="211"/>
    </row>
    <row r="29" spans="1:15" ht="40" customHeight="1" x14ac:dyDescent="0.75">
      <c r="A29" s="54" t="s">
        <v>257</v>
      </c>
      <c r="B29" s="257" t="s">
        <v>411</v>
      </c>
      <c r="C29" s="210"/>
      <c r="D29" s="210"/>
      <c r="E29" s="210"/>
      <c r="F29" s="210"/>
      <c r="G29" s="210"/>
      <c r="H29" s="210"/>
      <c r="I29" s="210"/>
      <c r="J29" s="210"/>
      <c r="K29" s="210"/>
      <c r="L29" s="210"/>
      <c r="M29" s="210"/>
      <c r="N29" s="210"/>
      <c r="O29" s="211"/>
    </row>
    <row r="30" spans="1:15" ht="28" customHeight="1" x14ac:dyDescent="0.75">
      <c r="A30" s="54" t="s">
        <v>258</v>
      </c>
      <c r="B30" s="266" t="s">
        <v>298</v>
      </c>
      <c r="C30" s="210"/>
      <c r="D30" s="210"/>
      <c r="E30" s="210"/>
      <c r="F30" s="210"/>
      <c r="G30" s="210"/>
      <c r="H30" s="210"/>
      <c r="I30" s="210"/>
      <c r="J30" s="210"/>
      <c r="K30" s="210"/>
      <c r="L30" s="210"/>
      <c r="M30" s="210"/>
      <c r="N30" s="210"/>
      <c r="O30" s="211"/>
    </row>
    <row r="31" spans="1:15" ht="28" customHeight="1" x14ac:dyDescent="0.75">
      <c r="A31" s="54" t="s">
        <v>259</v>
      </c>
      <c r="B31" s="257" t="s">
        <v>412</v>
      </c>
      <c r="C31" s="210"/>
      <c r="D31" s="210"/>
      <c r="E31" s="210"/>
      <c r="F31" s="210"/>
      <c r="G31" s="210"/>
      <c r="H31" s="210"/>
      <c r="I31" s="210"/>
      <c r="J31" s="210"/>
      <c r="K31" s="210"/>
      <c r="L31" s="210"/>
      <c r="M31" s="210"/>
      <c r="N31" s="210"/>
      <c r="O31" s="211"/>
    </row>
    <row r="32" spans="1:15" ht="28" customHeight="1" x14ac:dyDescent="0.75">
      <c r="A32" s="54" t="s">
        <v>261</v>
      </c>
      <c r="B32" s="257" t="s">
        <v>402</v>
      </c>
      <c r="C32" s="210"/>
      <c r="D32" s="210"/>
      <c r="E32" s="210"/>
      <c r="F32" s="210"/>
      <c r="G32" s="210"/>
      <c r="H32" s="210"/>
      <c r="I32" s="210"/>
      <c r="J32" s="210"/>
      <c r="K32" s="210"/>
      <c r="L32" s="210"/>
      <c r="M32" s="210"/>
      <c r="N32" s="210"/>
      <c r="O32" s="211"/>
    </row>
    <row r="33" spans="1:15" ht="96" customHeight="1" x14ac:dyDescent="0.75">
      <c r="A33" s="55" t="s">
        <v>314</v>
      </c>
      <c r="B33" s="270" t="s">
        <v>413</v>
      </c>
      <c r="C33" s="210"/>
      <c r="D33" s="210"/>
      <c r="E33" s="210"/>
      <c r="F33" s="210"/>
      <c r="G33" s="210"/>
      <c r="H33" s="210"/>
      <c r="I33" s="210"/>
      <c r="J33" s="210"/>
      <c r="K33" s="210"/>
      <c r="L33" s="210"/>
      <c r="M33" s="210"/>
      <c r="N33" s="210"/>
      <c r="O33" s="211"/>
    </row>
  </sheetData>
  <mergeCells count="56">
    <mergeCell ref="A1:O1"/>
    <mergeCell ref="B20:O20"/>
    <mergeCell ref="H14:I14"/>
    <mergeCell ref="B32:O32"/>
    <mergeCell ref="J17:K17"/>
    <mergeCell ref="B30:O30"/>
    <mergeCell ref="B24:O24"/>
    <mergeCell ref="H15:I15"/>
    <mergeCell ref="H18:I18"/>
    <mergeCell ref="A12:C12"/>
    <mergeCell ref="B31:O31"/>
    <mergeCell ref="M16:O16"/>
    <mergeCell ref="B22:O22"/>
    <mergeCell ref="A10:G10"/>
    <mergeCell ref="M15:O15"/>
    <mergeCell ref="B27:O27"/>
    <mergeCell ref="B33:O33"/>
    <mergeCell ref="J18:K18"/>
    <mergeCell ref="H11:O11"/>
    <mergeCell ref="J16:K16"/>
    <mergeCell ref="C2:G2"/>
    <mergeCell ref="B29:O29"/>
    <mergeCell ref="K2:O2"/>
    <mergeCell ref="H3:H4"/>
    <mergeCell ref="H5:H9"/>
    <mergeCell ref="H19:I19"/>
    <mergeCell ref="J3:J4"/>
    <mergeCell ref="B28:O28"/>
    <mergeCell ref="H13:O13"/>
    <mergeCell ref="H12:O12"/>
    <mergeCell ref="C3:C4"/>
    <mergeCell ref="H2:J2"/>
    <mergeCell ref="B21:O21"/>
    <mergeCell ref="A13:G19"/>
    <mergeCell ref="M18:O18"/>
    <mergeCell ref="J15:K15"/>
    <mergeCell ref="I3:I4"/>
    <mergeCell ref="M17:O17"/>
    <mergeCell ref="M19:O19"/>
    <mergeCell ref="H16:I16"/>
    <mergeCell ref="B23:O23"/>
    <mergeCell ref="A11:G11"/>
    <mergeCell ref="B26:O26"/>
    <mergeCell ref="D3:G3"/>
    <mergeCell ref="I5:I9"/>
    <mergeCell ref="D12:G12"/>
    <mergeCell ref="A3:A9"/>
    <mergeCell ref="J14:K14"/>
    <mergeCell ref="B3:B4"/>
    <mergeCell ref="K3:O9"/>
    <mergeCell ref="B25:O25"/>
    <mergeCell ref="J19:K19"/>
    <mergeCell ref="H10:O10"/>
    <mergeCell ref="H17:I17"/>
    <mergeCell ref="M14:O14"/>
    <mergeCell ref="J5:J9"/>
  </mergeCells>
  <printOptions horizontalCentered="1"/>
  <pageMargins left="0.7" right="0.7" top="0.75" bottom="0.75" header="0.511811023622047" footer="0.511811023622047"/>
  <pageSetup paperSize="9" scale="50" fitToHeight="0" orientation="landscape"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6"/>
  <sheetViews>
    <sheetView topLeftCell="A14" zoomScale="72" zoomScaleNormal="70" workbookViewId="0">
      <selection activeCell="C24" sqref="C24:O24"/>
    </sheetView>
  </sheetViews>
  <sheetFormatPr baseColWidth="10" defaultColWidth="8.76953125" defaultRowHeight="14.75" x14ac:dyDescent="0.75"/>
  <cols>
    <col min="1" max="1" width="35.2265625" style="153" customWidth="1"/>
    <col min="2" max="2" width="25.76953125" style="153" customWidth="1"/>
    <col min="3" max="3" width="13" style="153" customWidth="1"/>
    <col min="4" max="4" width="10" style="153" customWidth="1"/>
    <col min="5" max="7" width="13" style="153" customWidth="1"/>
    <col min="8" max="8" width="12.453125" style="153" customWidth="1"/>
    <col min="9" max="9" width="10.76953125" style="153" customWidth="1"/>
    <col min="10" max="10" width="13.453125" style="153" customWidth="1"/>
    <col min="11" max="11" width="2.2265625" style="153" customWidth="1"/>
    <col min="12" max="16384" width="8.76953125" style="153"/>
  </cols>
  <sheetData>
    <row r="1" spans="1:15" ht="18" customHeight="1" x14ac:dyDescent="0.75">
      <c r="A1" s="345" t="s">
        <v>419</v>
      </c>
      <c r="B1" s="330"/>
      <c r="C1" s="330"/>
      <c r="D1" s="330"/>
      <c r="E1" s="330"/>
      <c r="F1" s="330"/>
      <c r="G1" s="330"/>
      <c r="H1" s="330"/>
      <c r="I1" s="330"/>
      <c r="J1" s="330"/>
      <c r="K1" s="330"/>
      <c r="L1" s="330"/>
      <c r="M1" s="330"/>
      <c r="N1" s="330"/>
      <c r="O1" s="330"/>
    </row>
    <row r="2" spans="1:15" ht="39" customHeight="1" x14ac:dyDescent="0.75">
      <c r="A2" s="154" t="s">
        <v>214</v>
      </c>
      <c r="B2" s="154" t="s">
        <v>215</v>
      </c>
      <c r="C2" s="340" t="s">
        <v>216</v>
      </c>
      <c r="D2" s="319"/>
      <c r="E2" s="319"/>
      <c r="F2" s="319"/>
      <c r="G2" s="320"/>
      <c r="H2" s="344" t="s">
        <v>414</v>
      </c>
      <c r="I2" s="319"/>
      <c r="J2" s="320"/>
      <c r="K2" s="340" t="s">
        <v>415</v>
      </c>
      <c r="L2" s="319"/>
      <c r="M2" s="319"/>
      <c r="N2" s="319"/>
      <c r="O2" s="320"/>
    </row>
    <row r="3" spans="1:15" ht="14.25" customHeight="1" x14ac:dyDescent="0.75">
      <c r="A3" s="353" t="s">
        <v>88</v>
      </c>
      <c r="B3" s="322"/>
      <c r="C3" s="338" t="s">
        <v>219</v>
      </c>
      <c r="D3" s="322" t="s">
        <v>220</v>
      </c>
      <c r="E3" s="319"/>
      <c r="F3" s="319"/>
      <c r="G3" s="320"/>
      <c r="H3" s="338" t="s">
        <v>38</v>
      </c>
      <c r="I3" s="338" t="s">
        <v>221</v>
      </c>
      <c r="J3" s="338" t="s">
        <v>222</v>
      </c>
      <c r="K3" s="362" t="s">
        <v>420</v>
      </c>
      <c r="L3" s="327"/>
      <c r="M3" s="327"/>
      <c r="N3" s="327"/>
      <c r="O3" s="328"/>
    </row>
    <row r="4" spans="1:15" ht="62.25" customHeight="1" x14ac:dyDescent="0.75">
      <c r="A4" s="324"/>
      <c r="B4" s="325"/>
      <c r="C4" s="325"/>
      <c r="D4" s="155">
        <v>2024</v>
      </c>
      <c r="E4" s="155">
        <v>2025</v>
      </c>
      <c r="F4" s="155">
        <v>2026</v>
      </c>
      <c r="G4" s="155">
        <v>2027</v>
      </c>
      <c r="H4" s="325"/>
      <c r="I4" s="325"/>
      <c r="J4" s="325"/>
      <c r="K4" s="329"/>
      <c r="L4" s="330"/>
      <c r="M4" s="330"/>
      <c r="N4" s="330"/>
      <c r="O4" s="331"/>
    </row>
    <row r="5" spans="1:15" ht="14.25" customHeight="1" x14ac:dyDescent="0.75">
      <c r="A5" s="324"/>
      <c r="B5" s="156" t="s">
        <v>224</v>
      </c>
      <c r="C5" s="157"/>
      <c r="D5" s="157"/>
      <c r="E5" s="157"/>
      <c r="F5" s="157"/>
      <c r="G5" s="157"/>
      <c r="H5" s="341" t="s">
        <v>373</v>
      </c>
      <c r="I5" s="361" t="s">
        <v>421</v>
      </c>
      <c r="J5" s="361" t="s">
        <v>422</v>
      </c>
      <c r="K5" s="329"/>
      <c r="L5" s="330"/>
      <c r="M5" s="330"/>
      <c r="N5" s="330"/>
      <c r="O5" s="331"/>
    </row>
    <row r="6" spans="1:15" ht="15" customHeight="1" x14ac:dyDescent="0.75">
      <c r="A6" s="324"/>
      <c r="B6" s="156" t="s">
        <v>227</v>
      </c>
      <c r="C6" s="157"/>
      <c r="D6" s="190"/>
      <c r="E6" s="190"/>
      <c r="F6" s="190"/>
      <c r="G6" s="190"/>
      <c r="H6" s="324"/>
      <c r="I6" s="324"/>
      <c r="J6" s="324"/>
      <c r="K6" s="329"/>
      <c r="L6" s="330"/>
      <c r="M6" s="330"/>
      <c r="N6" s="330"/>
      <c r="O6" s="331"/>
    </row>
    <row r="7" spans="1:15" ht="15" customHeight="1" x14ac:dyDescent="0.75">
      <c r="A7" s="324"/>
      <c r="B7" s="156" t="s">
        <v>228</v>
      </c>
      <c r="C7" s="158"/>
      <c r="D7" s="158"/>
      <c r="E7" s="158"/>
      <c r="F7" s="158"/>
      <c r="G7" s="158"/>
      <c r="H7" s="324"/>
      <c r="I7" s="324"/>
      <c r="J7" s="324"/>
      <c r="K7" s="329"/>
      <c r="L7" s="330"/>
      <c r="M7" s="330"/>
      <c r="N7" s="330"/>
      <c r="O7" s="331"/>
    </row>
    <row r="8" spans="1:15" ht="15" customHeight="1" x14ac:dyDescent="0.75">
      <c r="A8" s="324"/>
      <c r="B8" s="156" t="s">
        <v>229</v>
      </c>
      <c r="C8" s="158"/>
      <c r="D8" s="158"/>
      <c r="E8" s="158"/>
      <c r="F8" s="158"/>
      <c r="G8" s="158"/>
      <c r="H8" s="324"/>
      <c r="I8" s="324"/>
      <c r="J8" s="324"/>
      <c r="K8" s="329"/>
      <c r="L8" s="330"/>
      <c r="M8" s="330"/>
      <c r="N8" s="330"/>
      <c r="O8" s="331"/>
    </row>
    <row r="9" spans="1:15" ht="15" customHeight="1" x14ac:dyDescent="0.75">
      <c r="A9" s="325"/>
      <c r="B9" s="159" t="s">
        <v>230</v>
      </c>
      <c r="C9" s="160"/>
      <c r="D9" s="191"/>
      <c r="E9" s="191"/>
      <c r="F9" s="191"/>
      <c r="G9" s="191"/>
      <c r="H9" s="325"/>
      <c r="I9" s="325"/>
      <c r="J9" s="325"/>
      <c r="K9" s="332"/>
      <c r="L9" s="333"/>
      <c r="M9" s="333"/>
      <c r="N9" s="333"/>
      <c r="O9" s="334"/>
    </row>
    <row r="10" spans="1:15" ht="27" customHeight="1" x14ac:dyDescent="0.75">
      <c r="A10" s="318" t="s">
        <v>8</v>
      </c>
      <c r="B10" s="319"/>
      <c r="C10" s="319"/>
      <c r="D10" s="319"/>
      <c r="E10" s="319"/>
      <c r="F10" s="319"/>
      <c r="G10" s="320"/>
      <c r="H10" s="362" t="s">
        <v>423</v>
      </c>
      <c r="I10" s="319"/>
      <c r="J10" s="319"/>
      <c r="K10" s="319"/>
      <c r="L10" s="319"/>
      <c r="M10" s="319"/>
      <c r="N10" s="319"/>
      <c r="O10" s="320"/>
    </row>
    <row r="11" spans="1:15" ht="15.75" customHeight="1" x14ac:dyDescent="0.75">
      <c r="A11" s="363" t="s">
        <v>10</v>
      </c>
      <c r="B11" s="319"/>
      <c r="C11" s="319"/>
      <c r="D11" s="319"/>
      <c r="E11" s="319"/>
      <c r="F11" s="319"/>
      <c r="G11" s="320"/>
      <c r="H11" s="364" t="s">
        <v>68</v>
      </c>
      <c r="I11" s="319"/>
      <c r="J11" s="319"/>
      <c r="K11" s="319"/>
      <c r="L11" s="319"/>
      <c r="M11" s="319"/>
      <c r="N11" s="319"/>
      <c r="O11" s="320"/>
    </row>
    <row r="12" spans="1:15" ht="14.25" customHeight="1" x14ac:dyDescent="0.75">
      <c r="A12" s="364" t="s">
        <v>416</v>
      </c>
      <c r="B12" s="320"/>
      <c r="C12" s="162"/>
      <c r="D12" s="353" t="str">
        <f>A3</f>
        <v>IR1.1.5</v>
      </c>
      <c r="E12" s="319"/>
      <c r="F12" s="319"/>
      <c r="G12" s="320"/>
      <c r="H12" s="367" t="s">
        <v>89</v>
      </c>
      <c r="I12" s="319"/>
      <c r="J12" s="319"/>
      <c r="K12" s="319"/>
      <c r="L12" s="319"/>
      <c r="M12" s="319"/>
      <c r="N12" s="319"/>
      <c r="O12" s="320"/>
    </row>
    <row r="13" spans="1:15" ht="14.25" customHeight="1" x14ac:dyDescent="0.75">
      <c r="A13" s="359" t="s">
        <v>424</v>
      </c>
      <c r="B13" s="327"/>
      <c r="C13" s="327"/>
      <c r="D13" s="327"/>
      <c r="E13" s="327"/>
      <c r="F13" s="327"/>
      <c r="G13" s="328"/>
      <c r="H13" s="322" t="s">
        <v>235</v>
      </c>
      <c r="I13" s="319"/>
      <c r="J13" s="319"/>
      <c r="K13" s="319"/>
      <c r="L13" s="319"/>
      <c r="M13" s="319"/>
      <c r="N13" s="319"/>
      <c r="O13" s="320"/>
    </row>
    <row r="14" spans="1:15" ht="15" customHeight="1" x14ac:dyDescent="0.75">
      <c r="A14" s="329"/>
      <c r="B14" s="330"/>
      <c r="C14" s="330"/>
      <c r="D14" s="330"/>
      <c r="E14" s="330"/>
      <c r="F14" s="330"/>
      <c r="G14" s="331"/>
      <c r="H14" s="322" t="s">
        <v>236</v>
      </c>
      <c r="I14" s="320"/>
      <c r="J14" s="322" t="s">
        <v>237</v>
      </c>
      <c r="K14" s="320"/>
      <c r="L14" s="155"/>
      <c r="M14" s="322"/>
      <c r="N14" s="319"/>
      <c r="O14" s="320"/>
    </row>
    <row r="15" spans="1:15" ht="15.75" customHeight="1" x14ac:dyDescent="0.75">
      <c r="A15" s="329"/>
      <c r="B15" s="330"/>
      <c r="C15" s="330"/>
      <c r="D15" s="330"/>
      <c r="E15" s="330"/>
      <c r="F15" s="330"/>
      <c r="G15" s="331"/>
      <c r="H15" s="322" t="s">
        <v>240</v>
      </c>
      <c r="I15" s="320"/>
      <c r="J15" s="323"/>
      <c r="K15" s="320"/>
      <c r="L15" s="163"/>
      <c r="M15" s="335"/>
      <c r="N15" s="319"/>
      <c r="O15" s="320"/>
    </row>
    <row r="16" spans="1:15" ht="15.75" customHeight="1" x14ac:dyDescent="0.75">
      <c r="A16" s="329"/>
      <c r="B16" s="330"/>
      <c r="C16" s="330"/>
      <c r="D16" s="330"/>
      <c r="E16" s="330"/>
      <c r="F16" s="330"/>
      <c r="G16" s="331"/>
      <c r="H16" s="322">
        <v>2024</v>
      </c>
      <c r="I16" s="320"/>
      <c r="J16" s="353"/>
      <c r="K16" s="320"/>
      <c r="L16" s="163"/>
      <c r="M16" s="360"/>
      <c r="N16" s="319"/>
      <c r="O16" s="320"/>
    </row>
    <row r="17" spans="1:15" ht="15.75" customHeight="1" x14ac:dyDescent="0.75">
      <c r="A17" s="329"/>
      <c r="B17" s="330"/>
      <c r="C17" s="330"/>
      <c r="D17" s="330"/>
      <c r="E17" s="330"/>
      <c r="F17" s="330"/>
      <c r="G17" s="331"/>
      <c r="H17" s="322">
        <v>2025</v>
      </c>
      <c r="I17" s="320"/>
      <c r="J17" s="353"/>
      <c r="K17" s="320"/>
      <c r="L17" s="163"/>
      <c r="M17" s="360"/>
      <c r="N17" s="319"/>
      <c r="O17" s="320"/>
    </row>
    <row r="18" spans="1:15" ht="15.75" customHeight="1" x14ac:dyDescent="0.75">
      <c r="A18" s="329"/>
      <c r="B18" s="330"/>
      <c r="C18" s="330"/>
      <c r="D18" s="330"/>
      <c r="E18" s="330"/>
      <c r="F18" s="330"/>
      <c r="G18" s="331"/>
      <c r="H18" s="322">
        <v>2026</v>
      </c>
      <c r="I18" s="320"/>
      <c r="J18" s="353"/>
      <c r="K18" s="320"/>
      <c r="L18" s="163"/>
      <c r="M18" s="360"/>
      <c r="N18" s="319"/>
      <c r="O18" s="320"/>
    </row>
    <row r="19" spans="1:15" ht="24.75" customHeight="1" x14ac:dyDescent="0.75">
      <c r="A19" s="332"/>
      <c r="B19" s="333"/>
      <c r="C19" s="333"/>
      <c r="D19" s="333"/>
      <c r="E19" s="333"/>
      <c r="F19" s="333"/>
      <c r="G19" s="334"/>
      <c r="H19" s="322">
        <v>2027</v>
      </c>
      <c r="I19" s="320"/>
      <c r="J19" s="353"/>
      <c r="K19" s="320"/>
      <c r="L19" s="163"/>
      <c r="M19" s="360"/>
      <c r="N19" s="319"/>
      <c r="O19" s="320"/>
    </row>
    <row r="20" spans="1:15" x14ac:dyDescent="0.75">
      <c r="A20" s="352" t="s">
        <v>241</v>
      </c>
      <c r="B20" s="320"/>
      <c r="C20" s="354" t="s">
        <v>551</v>
      </c>
      <c r="D20" s="319"/>
      <c r="E20" s="319"/>
      <c r="F20" s="319"/>
      <c r="G20" s="319"/>
      <c r="H20" s="319"/>
      <c r="I20" s="319"/>
      <c r="J20" s="319"/>
      <c r="K20" s="319"/>
      <c r="L20" s="319"/>
      <c r="M20" s="319"/>
      <c r="N20" s="319"/>
      <c r="O20" s="320"/>
    </row>
    <row r="21" spans="1:15" x14ac:dyDescent="0.75">
      <c r="A21" s="352" t="s">
        <v>242</v>
      </c>
      <c r="B21" s="320"/>
      <c r="C21" s="355" t="s">
        <v>552</v>
      </c>
      <c r="D21" s="351"/>
      <c r="E21" s="351"/>
      <c r="F21" s="351"/>
      <c r="G21" s="351"/>
      <c r="H21" s="351"/>
      <c r="I21" s="351"/>
      <c r="J21" s="351"/>
      <c r="K21" s="351"/>
      <c r="L21" s="351"/>
      <c r="M21" s="351"/>
      <c r="N21" s="351"/>
      <c r="O21" s="351"/>
    </row>
    <row r="22" spans="1:15" x14ac:dyDescent="0.75">
      <c r="A22" s="352" t="s">
        <v>243</v>
      </c>
      <c r="B22" s="320"/>
      <c r="C22" s="355" t="s">
        <v>553</v>
      </c>
      <c r="D22" s="351"/>
      <c r="E22" s="351"/>
      <c r="F22" s="351"/>
      <c r="G22" s="351"/>
      <c r="H22" s="351"/>
      <c r="I22" s="351"/>
      <c r="J22" s="351"/>
      <c r="K22" s="351"/>
      <c r="L22" s="351"/>
      <c r="M22" s="351"/>
      <c r="N22" s="351"/>
      <c r="O22" s="351"/>
    </row>
    <row r="23" spans="1:15" x14ac:dyDescent="0.75">
      <c r="A23" s="352" t="s">
        <v>276</v>
      </c>
      <c r="B23" s="320"/>
      <c r="C23" s="355" t="s">
        <v>554</v>
      </c>
      <c r="D23" s="351"/>
      <c r="E23" s="351"/>
      <c r="F23" s="351"/>
      <c r="G23" s="351"/>
      <c r="H23" s="351"/>
      <c r="I23" s="351"/>
      <c r="J23" s="351"/>
      <c r="K23" s="351"/>
      <c r="L23" s="351"/>
      <c r="M23" s="351"/>
      <c r="N23" s="351"/>
      <c r="O23" s="351"/>
    </row>
    <row r="24" spans="1:15" x14ac:dyDescent="0.75">
      <c r="A24" s="352" t="s">
        <v>278</v>
      </c>
      <c r="B24" s="320"/>
      <c r="C24" s="355" t="s">
        <v>555</v>
      </c>
      <c r="D24" s="351"/>
      <c r="E24" s="351"/>
      <c r="F24" s="351"/>
      <c r="G24" s="351"/>
      <c r="H24" s="351"/>
      <c r="I24" s="351"/>
      <c r="J24" s="351"/>
      <c r="K24" s="351"/>
      <c r="L24" s="351"/>
      <c r="M24" s="351"/>
      <c r="N24" s="351"/>
      <c r="O24" s="351"/>
    </row>
    <row r="25" spans="1:15" x14ac:dyDescent="0.75">
      <c r="A25" s="352" t="s">
        <v>306</v>
      </c>
      <c r="B25" s="320"/>
      <c r="C25" s="355" t="s">
        <v>556</v>
      </c>
      <c r="D25" s="351"/>
      <c r="E25" s="351"/>
      <c r="F25" s="351"/>
      <c r="G25" s="351"/>
      <c r="H25" s="351"/>
      <c r="I25" s="351"/>
      <c r="J25" s="351"/>
      <c r="K25" s="351"/>
      <c r="L25" s="351"/>
      <c r="M25" s="351"/>
      <c r="N25" s="351"/>
      <c r="O25" s="351"/>
    </row>
    <row r="26" spans="1:15" x14ac:dyDescent="0.75">
      <c r="A26" s="352" t="s">
        <v>251</v>
      </c>
      <c r="B26" s="320"/>
      <c r="C26" s="365" t="s">
        <v>425</v>
      </c>
      <c r="D26" s="351"/>
      <c r="E26" s="351"/>
      <c r="F26" s="351"/>
      <c r="G26" s="351"/>
      <c r="H26" s="351"/>
      <c r="I26" s="351"/>
      <c r="J26" s="351"/>
      <c r="K26" s="351"/>
      <c r="L26" s="351"/>
      <c r="M26" s="351"/>
      <c r="N26" s="351"/>
      <c r="O26" s="351"/>
    </row>
    <row r="27" spans="1:15" x14ac:dyDescent="0.75">
      <c r="A27" s="352" t="s">
        <v>253</v>
      </c>
      <c r="B27" s="320"/>
      <c r="C27" s="355" t="s">
        <v>557</v>
      </c>
      <c r="D27" s="351"/>
      <c r="E27" s="351"/>
      <c r="F27" s="351"/>
      <c r="G27" s="351"/>
      <c r="H27" s="351"/>
      <c r="I27" s="351"/>
      <c r="J27" s="351"/>
      <c r="K27" s="351"/>
      <c r="L27" s="351"/>
      <c r="M27" s="351"/>
      <c r="N27" s="351"/>
      <c r="O27" s="351"/>
    </row>
    <row r="28" spans="1:15" x14ac:dyDescent="0.75">
      <c r="A28" s="352" t="s">
        <v>283</v>
      </c>
      <c r="B28" s="320"/>
      <c r="C28" s="357" t="s">
        <v>558</v>
      </c>
      <c r="D28" s="351"/>
      <c r="E28" s="351"/>
      <c r="F28" s="351"/>
      <c r="G28" s="351"/>
      <c r="H28" s="351"/>
      <c r="I28" s="351"/>
      <c r="J28" s="351"/>
      <c r="K28" s="351"/>
      <c r="L28" s="351"/>
      <c r="M28" s="351"/>
      <c r="N28" s="351"/>
      <c r="O28" s="351"/>
    </row>
    <row r="29" spans="1:15" x14ac:dyDescent="0.75">
      <c r="A29" s="352" t="s">
        <v>334</v>
      </c>
      <c r="B29" s="320"/>
      <c r="C29" s="357" t="s">
        <v>562</v>
      </c>
      <c r="D29" s="351"/>
      <c r="E29" s="351"/>
      <c r="F29" s="351"/>
      <c r="G29" s="351"/>
      <c r="H29" s="351"/>
      <c r="I29" s="351"/>
      <c r="J29" s="351"/>
      <c r="K29" s="351"/>
      <c r="L29" s="351"/>
      <c r="M29" s="351"/>
      <c r="N29" s="351"/>
      <c r="O29" s="351"/>
    </row>
    <row r="30" spans="1:15" x14ac:dyDescent="0.75">
      <c r="A30" s="352" t="s">
        <v>258</v>
      </c>
      <c r="B30" s="320"/>
      <c r="C30" s="350" t="s">
        <v>373</v>
      </c>
      <c r="D30" s="351"/>
      <c r="E30" s="351"/>
      <c r="F30" s="351"/>
      <c r="G30" s="351"/>
      <c r="H30" s="351"/>
      <c r="I30" s="351"/>
      <c r="J30" s="351"/>
      <c r="K30" s="351"/>
      <c r="L30" s="351"/>
      <c r="M30" s="351"/>
      <c r="N30" s="351"/>
      <c r="O30" s="351"/>
    </row>
    <row r="31" spans="1:15" x14ac:dyDescent="0.75">
      <c r="A31" s="352" t="s">
        <v>418</v>
      </c>
      <c r="B31" s="320"/>
      <c r="C31" s="355" t="s">
        <v>561</v>
      </c>
      <c r="D31" s="351"/>
      <c r="E31" s="351"/>
      <c r="F31" s="351"/>
      <c r="G31" s="351"/>
      <c r="H31" s="351"/>
      <c r="I31" s="351"/>
      <c r="J31" s="351"/>
      <c r="K31" s="351"/>
      <c r="L31" s="351"/>
      <c r="M31" s="351"/>
      <c r="N31" s="351"/>
      <c r="O31" s="351"/>
    </row>
    <row r="32" spans="1:15" x14ac:dyDescent="0.75">
      <c r="A32" s="366" t="s">
        <v>261</v>
      </c>
      <c r="B32" s="320"/>
      <c r="C32" s="357" t="s">
        <v>560</v>
      </c>
      <c r="D32" s="351"/>
      <c r="E32" s="351"/>
      <c r="F32" s="351"/>
      <c r="G32" s="351"/>
      <c r="H32" s="351"/>
      <c r="I32" s="351"/>
      <c r="J32" s="351"/>
      <c r="K32" s="351"/>
      <c r="L32" s="351"/>
      <c r="M32" s="351"/>
      <c r="N32" s="351"/>
      <c r="O32" s="351"/>
    </row>
    <row r="33" spans="1:15" x14ac:dyDescent="0.75">
      <c r="A33" s="352" t="s">
        <v>314</v>
      </c>
      <c r="B33" s="320"/>
      <c r="C33" s="357" t="s">
        <v>559</v>
      </c>
      <c r="D33" s="351"/>
      <c r="E33" s="351"/>
      <c r="F33" s="351"/>
      <c r="G33" s="351"/>
      <c r="H33" s="351"/>
      <c r="I33" s="351"/>
      <c r="J33" s="351"/>
      <c r="K33" s="351"/>
      <c r="L33" s="351"/>
      <c r="M33" s="351"/>
      <c r="N33" s="351"/>
      <c r="O33" s="351"/>
    </row>
    <row r="34" spans="1:15" ht="15" customHeight="1" x14ac:dyDescent="0.75">
      <c r="A34" s="188"/>
      <c r="B34" s="189"/>
      <c r="C34" s="166"/>
      <c r="D34" s="167"/>
      <c r="E34" s="167"/>
      <c r="F34" s="167"/>
      <c r="G34" s="167"/>
      <c r="H34" s="167"/>
      <c r="I34" s="167"/>
      <c r="J34" s="167"/>
      <c r="K34" s="167"/>
      <c r="L34" s="167"/>
      <c r="M34" s="167"/>
      <c r="N34" s="167"/>
      <c r="O34" s="168"/>
    </row>
    <row r="35" spans="1:15" ht="15" customHeight="1" x14ac:dyDescent="0.75">
      <c r="A35" s="164"/>
      <c r="B35" s="165"/>
      <c r="C35" s="358"/>
      <c r="D35" s="319"/>
      <c r="E35" s="319"/>
      <c r="F35" s="319"/>
      <c r="G35" s="319"/>
      <c r="H35" s="319"/>
      <c r="I35" s="319"/>
      <c r="J35" s="319"/>
      <c r="K35" s="319"/>
      <c r="L35" s="319"/>
      <c r="M35" s="319"/>
      <c r="N35" s="319"/>
      <c r="O35" s="320"/>
    </row>
    <row r="36" spans="1:15" ht="14.25" customHeight="1" x14ac:dyDescent="0.75">
      <c r="A36" s="356"/>
      <c r="B36" s="320"/>
      <c r="C36" s="354"/>
      <c r="D36" s="319"/>
      <c r="E36" s="319"/>
      <c r="F36" s="319"/>
      <c r="G36" s="319"/>
      <c r="H36" s="319"/>
      <c r="I36" s="319"/>
      <c r="J36" s="319"/>
      <c r="K36" s="319"/>
      <c r="L36" s="319"/>
      <c r="M36" s="319"/>
      <c r="N36" s="319"/>
      <c r="O36" s="320"/>
    </row>
  </sheetData>
  <mergeCells count="73">
    <mergeCell ref="A1:O1"/>
    <mergeCell ref="C21:O21"/>
    <mergeCell ref="H14:I14"/>
    <mergeCell ref="A31:B31"/>
    <mergeCell ref="J17:K17"/>
    <mergeCell ref="A29:B29"/>
    <mergeCell ref="C31:O31"/>
    <mergeCell ref="C3:C4"/>
    <mergeCell ref="H15:I15"/>
    <mergeCell ref="H18:I18"/>
    <mergeCell ref="A28:B28"/>
    <mergeCell ref="J18:K18"/>
    <mergeCell ref="C2:G2"/>
    <mergeCell ref="M19:O19"/>
    <mergeCell ref="H16:I16"/>
    <mergeCell ref="H11:O11"/>
    <mergeCell ref="K2:O2"/>
    <mergeCell ref="H3:H4"/>
    <mergeCell ref="C20:O20"/>
    <mergeCell ref="H5:H9"/>
    <mergeCell ref="H19:I19"/>
    <mergeCell ref="J3:J4"/>
    <mergeCell ref="H13:O13"/>
    <mergeCell ref="H2:J2"/>
    <mergeCell ref="A10:G10"/>
    <mergeCell ref="H12:O12"/>
    <mergeCell ref="C22:O22"/>
    <mergeCell ref="H17:I17"/>
    <mergeCell ref="M14:O14"/>
    <mergeCell ref="A12:B12"/>
    <mergeCell ref="A33:B33"/>
    <mergeCell ref="C26:O26"/>
    <mergeCell ref="C29:O29"/>
    <mergeCell ref="A23:B23"/>
    <mergeCell ref="A32:B32"/>
    <mergeCell ref="C25:O25"/>
    <mergeCell ref="A22:B22"/>
    <mergeCell ref="A26:B26"/>
    <mergeCell ref="M16:O16"/>
    <mergeCell ref="C32:O32"/>
    <mergeCell ref="M15:O15"/>
    <mergeCell ref="C28:O28"/>
    <mergeCell ref="A13:G19"/>
    <mergeCell ref="M18:O18"/>
    <mergeCell ref="J15:K15"/>
    <mergeCell ref="I3:I4"/>
    <mergeCell ref="M17:O17"/>
    <mergeCell ref="D3:G3"/>
    <mergeCell ref="I5:I9"/>
    <mergeCell ref="D12:G12"/>
    <mergeCell ref="A3:A9"/>
    <mergeCell ref="J14:K14"/>
    <mergeCell ref="B3:B4"/>
    <mergeCell ref="K3:O9"/>
    <mergeCell ref="H10:O10"/>
    <mergeCell ref="A11:G11"/>
    <mergeCell ref="J5:J9"/>
    <mergeCell ref="C30:O30"/>
    <mergeCell ref="A27:B27"/>
    <mergeCell ref="J16:K16"/>
    <mergeCell ref="A20:B20"/>
    <mergeCell ref="C36:O36"/>
    <mergeCell ref="A24:B24"/>
    <mergeCell ref="C27:O27"/>
    <mergeCell ref="A36:B36"/>
    <mergeCell ref="C33:O33"/>
    <mergeCell ref="C35:O35"/>
    <mergeCell ref="A30:B30"/>
    <mergeCell ref="C23:O23"/>
    <mergeCell ref="J19:K19"/>
    <mergeCell ref="C24:O24"/>
    <mergeCell ref="A21:B21"/>
    <mergeCell ref="A25:B25"/>
  </mergeCells>
  <printOptions horizontalCentered="1"/>
  <pageMargins left="0.75" right="0.75" top="1" bottom="1" header="0.511811023622047" footer="0.511811023622047"/>
  <pageSetup paperSize="9" fitToHeight="0"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topLeftCell="A21" zoomScale="70" zoomScaleNormal="70" workbookViewId="0">
      <selection activeCell="L14" sqref="L14:L18"/>
    </sheetView>
  </sheetViews>
  <sheetFormatPr baseColWidth="10" defaultColWidth="11.453125" defaultRowHeight="14.75" x14ac:dyDescent="0.75"/>
  <cols>
    <col min="1" max="1" width="30" style="124" customWidth="1"/>
    <col min="2" max="2" width="15.2265625" style="124" customWidth="1"/>
    <col min="5" max="7" width="12.2265625" style="124" customWidth="1"/>
    <col min="9" max="9" width="22.453125" style="124" customWidth="1"/>
    <col min="11" max="11" width="4.453125" style="124" customWidth="1"/>
    <col min="14" max="14" width="7.453125" style="124" customWidth="1"/>
    <col min="15" max="15" width="3.453125" style="124" hidden="1"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0.75" customHeight="1" x14ac:dyDescent="0.75">
      <c r="A2" s="126" t="s">
        <v>214</v>
      </c>
      <c r="B2" s="126" t="s">
        <v>215</v>
      </c>
      <c r="C2" s="261" t="s">
        <v>216</v>
      </c>
      <c r="D2" s="210"/>
      <c r="E2" s="210"/>
      <c r="F2" s="210"/>
      <c r="G2" s="211"/>
      <c r="H2" s="264" t="s">
        <v>217</v>
      </c>
      <c r="I2" s="210"/>
      <c r="J2" s="211"/>
      <c r="K2" s="261" t="s">
        <v>218</v>
      </c>
      <c r="L2" s="210"/>
      <c r="M2" s="210"/>
      <c r="N2" s="210"/>
      <c r="O2" s="211"/>
    </row>
    <row r="3" spans="1:15" ht="14.25" customHeight="1" x14ac:dyDescent="0.75">
      <c r="A3" s="240" t="s">
        <v>426</v>
      </c>
      <c r="B3" s="240"/>
      <c r="C3" s="254" t="s">
        <v>219</v>
      </c>
      <c r="D3" s="240" t="s">
        <v>220</v>
      </c>
      <c r="E3" s="210"/>
      <c r="F3" s="210"/>
      <c r="G3" s="211"/>
      <c r="H3" s="254" t="s">
        <v>38</v>
      </c>
      <c r="I3" s="254" t="s">
        <v>221</v>
      </c>
      <c r="J3" s="254" t="s">
        <v>222</v>
      </c>
      <c r="K3" s="250" t="s">
        <v>427</v>
      </c>
      <c r="L3" s="242"/>
      <c r="M3" s="242"/>
      <c r="N3" s="242"/>
      <c r="O3" s="243"/>
    </row>
    <row r="4" spans="1:15" ht="36" customHeight="1" x14ac:dyDescent="0.75">
      <c r="A4" s="224"/>
      <c r="B4" s="213"/>
      <c r="C4" s="213"/>
      <c r="D4" s="129">
        <v>2024</v>
      </c>
      <c r="E4" s="129">
        <v>2025</v>
      </c>
      <c r="F4" s="129">
        <v>2026</v>
      </c>
      <c r="G4" s="129">
        <v>2027</v>
      </c>
      <c r="H4" s="213"/>
      <c r="I4" s="213"/>
      <c r="J4" s="213"/>
      <c r="K4" s="244"/>
      <c r="L4" s="207"/>
      <c r="M4" s="207"/>
      <c r="N4" s="207"/>
      <c r="O4" s="245"/>
    </row>
    <row r="5" spans="1:15" ht="15" customHeight="1" x14ac:dyDescent="0.75">
      <c r="A5" s="224"/>
      <c r="B5" s="130" t="s">
        <v>224</v>
      </c>
      <c r="C5" s="57"/>
      <c r="D5" s="57"/>
      <c r="E5" s="57"/>
      <c r="F5" s="57"/>
      <c r="G5" s="57">
        <v>270000</v>
      </c>
      <c r="H5" s="262" t="s">
        <v>428</v>
      </c>
      <c r="I5" s="241" t="s">
        <v>429</v>
      </c>
      <c r="J5" s="241" t="s">
        <v>46</v>
      </c>
      <c r="K5" s="244"/>
      <c r="L5" s="207"/>
      <c r="M5" s="207"/>
      <c r="N5" s="207"/>
      <c r="O5" s="245"/>
    </row>
    <row r="6" spans="1:15" ht="15" customHeight="1" x14ac:dyDescent="0.75">
      <c r="A6" s="224"/>
      <c r="B6" s="130" t="s">
        <v>227</v>
      </c>
      <c r="C6" s="57"/>
      <c r="D6" s="57"/>
      <c r="E6" s="57"/>
      <c r="F6" s="57"/>
      <c r="G6" s="57">
        <v>150000</v>
      </c>
      <c r="H6" s="224"/>
      <c r="I6" s="224"/>
      <c r="J6" s="224"/>
      <c r="K6" s="244"/>
      <c r="L6" s="207"/>
      <c r="M6" s="207"/>
      <c r="N6" s="207"/>
      <c r="O6" s="245"/>
    </row>
    <row r="7" spans="1:15" ht="15" customHeight="1" x14ac:dyDescent="0.75">
      <c r="A7" s="224"/>
      <c r="B7" s="130" t="s">
        <v>228</v>
      </c>
      <c r="C7" s="58"/>
      <c r="D7" s="58">
        <v>18000</v>
      </c>
      <c r="E7" s="58">
        <v>33000</v>
      </c>
      <c r="F7" s="58">
        <v>27000</v>
      </c>
      <c r="G7" s="58">
        <v>180000</v>
      </c>
      <c r="H7" s="224"/>
      <c r="I7" s="224"/>
      <c r="J7" s="224"/>
      <c r="K7" s="244"/>
      <c r="L7" s="207"/>
      <c r="M7" s="207"/>
      <c r="N7" s="207"/>
      <c r="O7" s="245"/>
    </row>
    <row r="8" spans="1:15" ht="15" customHeight="1" x14ac:dyDescent="0.75">
      <c r="A8" s="224"/>
      <c r="B8" s="130" t="s">
        <v>229</v>
      </c>
      <c r="C8" s="58"/>
      <c r="D8" s="58"/>
      <c r="E8" s="58"/>
      <c r="F8" s="58"/>
      <c r="G8" s="58"/>
      <c r="H8" s="224"/>
      <c r="I8" s="224"/>
      <c r="J8" s="224"/>
      <c r="K8" s="244"/>
      <c r="L8" s="207"/>
      <c r="M8" s="207"/>
      <c r="N8" s="207"/>
      <c r="O8" s="245"/>
    </row>
    <row r="9" spans="1:15" ht="23.25" customHeight="1" x14ac:dyDescent="0.75">
      <c r="A9" s="213"/>
      <c r="B9" s="59" t="s">
        <v>230</v>
      </c>
      <c r="C9" s="60">
        <v>0</v>
      </c>
      <c r="D9" s="79"/>
      <c r="E9" s="79"/>
      <c r="F9" s="79"/>
      <c r="G9" s="79">
        <v>600000</v>
      </c>
      <c r="H9" s="213"/>
      <c r="I9" s="213"/>
      <c r="J9" s="213"/>
      <c r="K9" s="246"/>
      <c r="L9" s="216"/>
      <c r="M9" s="216"/>
      <c r="N9" s="216"/>
      <c r="O9" s="247"/>
    </row>
    <row r="10" spans="1:15" ht="15.75" customHeight="1" x14ac:dyDescent="0.75">
      <c r="A10" s="258" t="s">
        <v>231</v>
      </c>
      <c r="B10" s="210"/>
      <c r="C10" s="210"/>
      <c r="D10" s="210"/>
      <c r="E10" s="210"/>
      <c r="F10" s="210"/>
      <c r="G10" s="211"/>
      <c r="H10" s="250" t="s">
        <v>430</v>
      </c>
      <c r="I10" s="210"/>
      <c r="J10" s="210"/>
      <c r="K10" s="210"/>
      <c r="L10" s="210"/>
      <c r="M10" s="210"/>
      <c r="N10" s="210"/>
      <c r="O10" s="211"/>
    </row>
    <row r="11" spans="1:15" ht="15.75" customHeight="1" x14ac:dyDescent="0.75">
      <c r="A11" s="263" t="s">
        <v>232</v>
      </c>
      <c r="B11" s="210"/>
      <c r="C11" s="211"/>
      <c r="D11" s="240" t="s">
        <v>426</v>
      </c>
      <c r="E11" s="210"/>
      <c r="F11" s="210"/>
      <c r="G11" s="211"/>
      <c r="H11" s="253" t="s">
        <v>431</v>
      </c>
      <c r="I11" s="210"/>
      <c r="J11" s="210"/>
      <c r="K11" s="210"/>
      <c r="L11" s="210"/>
      <c r="M11" s="210"/>
      <c r="N11" s="210"/>
      <c r="O11" s="211"/>
    </row>
    <row r="12" spans="1:15" ht="14.25" customHeight="1" x14ac:dyDescent="0.75">
      <c r="A12" s="268" t="s">
        <v>432</v>
      </c>
      <c r="B12" s="242"/>
      <c r="C12" s="242"/>
      <c r="D12" s="242"/>
      <c r="E12" s="242"/>
      <c r="F12" s="242"/>
      <c r="G12" s="243"/>
      <c r="H12" s="240" t="s">
        <v>235</v>
      </c>
      <c r="I12" s="210"/>
      <c r="J12" s="210"/>
      <c r="K12" s="210"/>
      <c r="L12" s="210"/>
      <c r="M12" s="210"/>
      <c r="N12" s="210"/>
      <c r="O12" s="211"/>
    </row>
    <row r="13" spans="1:15" ht="15" customHeight="1" x14ac:dyDescent="0.75">
      <c r="A13" s="244"/>
      <c r="B13" s="207"/>
      <c r="C13" s="207"/>
      <c r="D13" s="207"/>
      <c r="E13" s="207"/>
      <c r="F13" s="207"/>
      <c r="G13" s="245"/>
      <c r="H13" s="240" t="s">
        <v>236</v>
      </c>
      <c r="I13" s="211"/>
      <c r="J13" s="240" t="s">
        <v>237</v>
      </c>
      <c r="K13" s="211"/>
      <c r="L13" s="129" t="s">
        <v>238</v>
      </c>
      <c r="M13" s="240" t="s">
        <v>272</v>
      </c>
      <c r="N13" s="210"/>
      <c r="O13" s="211"/>
    </row>
    <row r="14" spans="1:15" ht="15.75" customHeight="1" x14ac:dyDescent="0.75">
      <c r="A14" s="244"/>
      <c r="B14" s="207"/>
      <c r="C14" s="207"/>
      <c r="D14" s="207"/>
      <c r="E14" s="207"/>
      <c r="F14" s="207"/>
      <c r="G14" s="245"/>
      <c r="H14" s="252" t="s">
        <v>240</v>
      </c>
      <c r="I14" s="211"/>
      <c r="J14" s="368">
        <v>0</v>
      </c>
      <c r="K14" s="211"/>
      <c r="L14" s="53" t="str">
        <f>IFERROR(M14/J14,"")</f>
        <v/>
      </c>
      <c r="M14" s="269">
        <v>0</v>
      </c>
      <c r="N14" s="210"/>
      <c r="O14" s="211"/>
    </row>
    <row r="15" spans="1:15" ht="15.75" customHeight="1" x14ac:dyDescent="0.75">
      <c r="A15" s="244"/>
      <c r="B15" s="207"/>
      <c r="C15" s="207"/>
      <c r="D15" s="207"/>
      <c r="E15" s="207"/>
      <c r="F15" s="207"/>
      <c r="G15" s="245"/>
      <c r="H15" s="252">
        <v>2024</v>
      </c>
      <c r="I15" s="211"/>
      <c r="J15" s="369">
        <v>9140</v>
      </c>
      <c r="K15" s="211"/>
      <c r="L15" s="53">
        <f>IFERROR(M15/J15,"")</f>
        <v>1.9693654266958425</v>
      </c>
      <c r="M15" s="269">
        <v>18000</v>
      </c>
      <c r="N15" s="210"/>
      <c r="O15" s="211"/>
    </row>
    <row r="16" spans="1:15" ht="15.75" customHeight="1" x14ac:dyDescent="0.75">
      <c r="A16" s="244"/>
      <c r="B16" s="207"/>
      <c r="C16" s="207"/>
      <c r="D16" s="207"/>
      <c r="E16" s="207"/>
      <c r="F16" s="207"/>
      <c r="G16" s="245"/>
      <c r="H16" s="252">
        <v>2025</v>
      </c>
      <c r="I16" s="211"/>
      <c r="J16" s="369">
        <v>29807</v>
      </c>
      <c r="K16" s="211"/>
      <c r="L16" s="53">
        <f>IFERROR(M16/J16,"")</f>
        <v>1.107122488006173</v>
      </c>
      <c r="M16" s="269">
        <v>33000</v>
      </c>
      <c r="N16" s="210"/>
      <c r="O16" s="211"/>
    </row>
    <row r="17" spans="1:15" ht="15.75" customHeight="1" x14ac:dyDescent="0.75">
      <c r="A17" s="244"/>
      <c r="B17" s="207"/>
      <c r="C17" s="207"/>
      <c r="D17" s="207"/>
      <c r="E17" s="207"/>
      <c r="F17" s="207"/>
      <c r="G17" s="245"/>
      <c r="H17" s="252">
        <v>2026</v>
      </c>
      <c r="I17" s="211"/>
      <c r="J17" s="369"/>
      <c r="K17" s="211"/>
      <c r="L17" s="53" t="str">
        <f>IFERROR(M17/J17,"")</f>
        <v/>
      </c>
      <c r="M17" s="269">
        <v>700000</v>
      </c>
      <c r="N17" s="210"/>
      <c r="O17" s="211"/>
    </row>
    <row r="18" spans="1:15" ht="15.75" customHeight="1" x14ac:dyDescent="0.75">
      <c r="A18" s="246"/>
      <c r="B18" s="216"/>
      <c r="C18" s="216"/>
      <c r="D18" s="216"/>
      <c r="E18" s="216"/>
      <c r="F18" s="216"/>
      <c r="G18" s="247"/>
      <c r="H18" s="252">
        <v>2027</v>
      </c>
      <c r="I18" s="211"/>
      <c r="J18" s="369"/>
      <c r="K18" s="211"/>
      <c r="L18" s="53" t="str">
        <f>IFERROR(M18/J18,"")</f>
        <v/>
      </c>
      <c r="M18" s="269">
        <f>G9</f>
        <v>600000</v>
      </c>
      <c r="N18" s="210"/>
      <c r="O18" s="211"/>
    </row>
    <row r="19" spans="1:15" ht="35.25" customHeight="1" x14ac:dyDescent="0.75">
      <c r="A19" s="54" t="s">
        <v>302</v>
      </c>
      <c r="B19" s="256" t="s">
        <v>433</v>
      </c>
      <c r="C19" s="210"/>
      <c r="D19" s="210"/>
      <c r="E19" s="210"/>
      <c r="F19" s="210"/>
      <c r="G19" s="210"/>
      <c r="H19" s="210"/>
      <c r="I19" s="210"/>
      <c r="J19" s="210"/>
      <c r="K19" s="210"/>
      <c r="L19" s="210"/>
      <c r="M19" s="210"/>
      <c r="N19" s="210"/>
      <c r="O19" s="211"/>
    </row>
    <row r="20" spans="1:15" ht="14.25" customHeight="1" x14ac:dyDescent="0.75">
      <c r="A20" s="54" t="s">
        <v>242</v>
      </c>
      <c r="B20" s="256" t="s">
        <v>434</v>
      </c>
      <c r="C20" s="210"/>
      <c r="D20" s="210"/>
      <c r="E20" s="210"/>
      <c r="F20" s="210"/>
      <c r="G20" s="210"/>
      <c r="H20" s="210"/>
      <c r="I20" s="210"/>
      <c r="J20" s="210"/>
      <c r="K20" s="210"/>
      <c r="L20" s="210"/>
      <c r="M20" s="210"/>
      <c r="N20" s="210"/>
      <c r="O20" s="211"/>
    </row>
    <row r="21" spans="1:15" ht="14.25" customHeight="1" x14ac:dyDescent="0.75">
      <c r="A21" s="54" t="s">
        <v>243</v>
      </c>
      <c r="B21" s="256" t="s">
        <v>435</v>
      </c>
      <c r="C21" s="210"/>
      <c r="D21" s="210"/>
      <c r="E21" s="210"/>
      <c r="F21" s="210"/>
      <c r="G21" s="210"/>
      <c r="H21" s="210"/>
      <c r="I21" s="210"/>
      <c r="J21" s="210"/>
      <c r="K21" s="210"/>
      <c r="L21" s="210"/>
      <c r="M21" s="210"/>
      <c r="N21" s="210"/>
      <c r="O21" s="211"/>
    </row>
    <row r="22" spans="1:15" ht="14.25" customHeight="1" x14ac:dyDescent="0.75">
      <c r="A22" s="54" t="s">
        <v>276</v>
      </c>
      <c r="B22" s="256" t="s">
        <v>427</v>
      </c>
      <c r="C22" s="210"/>
      <c r="D22" s="210"/>
      <c r="E22" s="210"/>
      <c r="F22" s="210"/>
      <c r="G22" s="210"/>
      <c r="H22" s="210"/>
      <c r="I22" s="210"/>
      <c r="J22" s="210"/>
      <c r="K22" s="210"/>
      <c r="L22" s="210"/>
      <c r="M22" s="210"/>
      <c r="N22" s="210"/>
      <c r="O22" s="211"/>
    </row>
    <row r="23" spans="1:15" ht="15" customHeight="1" x14ac:dyDescent="0.75">
      <c r="A23" s="62" t="s">
        <v>278</v>
      </c>
      <c r="B23" s="267" t="s">
        <v>279</v>
      </c>
      <c r="C23" s="210"/>
      <c r="D23" s="210"/>
      <c r="E23" s="210"/>
      <c r="F23" s="210"/>
      <c r="G23" s="210"/>
      <c r="H23" s="210"/>
      <c r="I23" s="210"/>
      <c r="J23" s="210"/>
      <c r="K23" s="210"/>
      <c r="L23" s="210"/>
      <c r="M23" s="210"/>
      <c r="N23" s="210"/>
      <c r="O23" s="211"/>
    </row>
    <row r="24" spans="1:15" ht="15" customHeight="1" x14ac:dyDescent="0.75">
      <c r="A24" s="62" t="s">
        <v>306</v>
      </c>
      <c r="B24" s="267" t="s">
        <v>280</v>
      </c>
      <c r="C24" s="210"/>
      <c r="D24" s="210"/>
      <c r="E24" s="210"/>
      <c r="F24" s="210"/>
      <c r="G24" s="210"/>
      <c r="H24" s="210"/>
      <c r="I24" s="210"/>
      <c r="J24" s="210"/>
      <c r="K24" s="210"/>
      <c r="L24" s="210"/>
      <c r="M24" s="210"/>
      <c r="N24" s="210"/>
      <c r="O24" s="211"/>
    </row>
    <row r="25" spans="1:15" ht="15" customHeight="1" x14ac:dyDescent="0.75">
      <c r="A25" s="62" t="s">
        <v>251</v>
      </c>
      <c r="B25" s="267" t="s">
        <v>281</v>
      </c>
      <c r="C25" s="210"/>
      <c r="D25" s="210"/>
      <c r="E25" s="210"/>
      <c r="F25" s="210"/>
      <c r="G25" s="210"/>
      <c r="H25" s="210"/>
      <c r="I25" s="210"/>
      <c r="J25" s="210"/>
      <c r="K25" s="210"/>
      <c r="L25" s="210"/>
      <c r="M25" s="210"/>
      <c r="N25" s="210"/>
      <c r="O25" s="211"/>
    </row>
    <row r="26" spans="1:15" ht="15" customHeight="1" x14ac:dyDescent="0.75">
      <c r="A26" s="62" t="s">
        <v>253</v>
      </c>
      <c r="B26" s="267" t="s">
        <v>282</v>
      </c>
      <c r="C26" s="210"/>
      <c r="D26" s="210"/>
      <c r="E26" s="210"/>
      <c r="F26" s="210"/>
      <c r="G26" s="210"/>
      <c r="H26" s="210"/>
      <c r="I26" s="210"/>
      <c r="J26" s="210"/>
      <c r="K26" s="210"/>
      <c r="L26" s="210"/>
      <c r="M26" s="210"/>
      <c r="N26" s="210"/>
      <c r="O26" s="211"/>
    </row>
    <row r="27" spans="1:15" ht="15" customHeight="1" x14ac:dyDescent="0.75">
      <c r="A27" s="62" t="s">
        <v>310</v>
      </c>
      <c r="B27" s="259" t="s">
        <v>436</v>
      </c>
      <c r="C27" s="210"/>
      <c r="D27" s="210"/>
      <c r="E27" s="210"/>
      <c r="F27" s="210"/>
      <c r="G27" s="210"/>
      <c r="H27" s="210"/>
      <c r="I27" s="210"/>
      <c r="J27" s="210"/>
      <c r="K27" s="210"/>
      <c r="L27" s="210"/>
      <c r="M27" s="210"/>
      <c r="N27" s="210"/>
      <c r="O27" s="211"/>
    </row>
    <row r="28" spans="1:15" ht="14.25" customHeight="1" x14ac:dyDescent="0.75">
      <c r="A28" s="54" t="s">
        <v>257</v>
      </c>
      <c r="B28" s="256" t="s">
        <v>437</v>
      </c>
      <c r="C28" s="210"/>
      <c r="D28" s="210"/>
      <c r="E28" s="210"/>
      <c r="F28" s="210"/>
      <c r="G28" s="210"/>
      <c r="H28" s="210"/>
      <c r="I28" s="210"/>
      <c r="J28" s="210"/>
      <c r="K28" s="210"/>
      <c r="L28" s="210"/>
      <c r="M28" s="210"/>
      <c r="N28" s="210"/>
      <c r="O28" s="211"/>
    </row>
    <row r="29" spans="1:15" ht="15" customHeight="1" x14ac:dyDescent="0.75">
      <c r="A29" s="80" t="s">
        <v>258</v>
      </c>
      <c r="B29" s="259" t="s">
        <v>428</v>
      </c>
      <c r="C29" s="210"/>
      <c r="D29" s="210"/>
      <c r="E29" s="210"/>
      <c r="F29" s="210"/>
      <c r="G29" s="210"/>
      <c r="H29" s="210"/>
      <c r="I29" s="210"/>
      <c r="J29" s="210"/>
      <c r="K29" s="210"/>
      <c r="L29" s="210"/>
      <c r="M29" s="210"/>
      <c r="N29" s="210"/>
      <c r="O29" s="211"/>
    </row>
    <row r="30" spans="1:15" ht="15.75" customHeight="1" x14ac:dyDescent="0.75">
      <c r="A30" s="54" t="s">
        <v>259</v>
      </c>
      <c r="B30" s="256" t="s">
        <v>260</v>
      </c>
      <c r="C30" s="210"/>
      <c r="D30" s="210"/>
      <c r="E30" s="210"/>
      <c r="F30" s="210"/>
      <c r="G30" s="210"/>
      <c r="H30" s="210"/>
      <c r="I30" s="210"/>
      <c r="J30" s="210"/>
      <c r="K30" s="210"/>
      <c r="L30" s="210"/>
      <c r="M30" s="210"/>
      <c r="N30" s="210"/>
      <c r="O30" s="211"/>
    </row>
    <row r="31" spans="1:15" ht="15" customHeight="1" x14ac:dyDescent="0.75">
      <c r="A31" s="62" t="s">
        <v>261</v>
      </c>
      <c r="B31" s="259" t="s">
        <v>438</v>
      </c>
      <c r="C31" s="210"/>
      <c r="D31" s="210"/>
      <c r="E31" s="210"/>
      <c r="F31" s="210"/>
      <c r="G31" s="210"/>
      <c r="H31" s="210"/>
      <c r="I31" s="210"/>
      <c r="J31" s="210"/>
      <c r="K31" s="210"/>
      <c r="L31" s="210"/>
      <c r="M31" s="210"/>
      <c r="N31" s="210"/>
      <c r="O31" s="211"/>
    </row>
    <row r="32" spans="1:15" ht="64.95" customHeight="1" x14ac:dyDescent="0.75">
      <c r="A32" s="54" t="s">
        <v>285</v>
      </c>
      <c r="B32" s="271" t="s">
        <v>439</v>
      </c>
      <c r="C32" s="210"/>
      <c r="D32" s="210"/>
      <c r="E32" s="210"/>
      <c r="F32" s="210"/>
      <c r="G32" s="210"/>
      <c r="H32" s="210"/>
      <c r="I32" s="210"/>
      <c r="J32" s="210"/>
      <c r="K32" s="210"/>
      <c r="L32" s="210"/>
      <c r="M32" s="210"/>
      <c r="N32" s="210"/>
      <c r="O32" s="211"/>
    </row>
  </sheetData>
  <mergeCells count="54">
    <mergeCell ref="B32:O32"/>
    <mergeCell ref="J17:K17"/>
    <mergeCell ref="B30:O30"/>
    <mergeCell ref="B24:O24"/>
    <mergeCell ref="H18:I18"/>
    <mergeCell ref="B29:O29"/>
    <mergeCell ref="B28:O28"/>
    <mergeCell ref="B26:O26"/>
    <mergeCell ref="B25:O25"/>
    <mergeCell ref="A1:O1"/>
    <mergeCell ref="J18:K18"/>
    <mergeCell ref="B20:O20"/>
    <mergeCell ref="H14:I14"/>
    <mergeCell ref="C2:G2"/>
    <mergeCell ref="K2:O2"/>
    <mergeCell ref="H3:H4"/>
    <mergeCell ref="H5:H9"/>
    <mergeCell ref="J3:J4"/>
    <mergeCell ref="B19:O19"/>
    <mergeCell ref="D11:G11"/>
    <mergeCell ref="H13:I13"/>
    <mergeCell ref="H12:O12"/>
    <mergeCell ref="A11:C11"/>
    <mergeCell ref="C3:C4"/>
    <mergeCell ref="H2:J2"/>
    <mergeCell ref="B31:O31"/>
    <mergeCell ref="J13:K13"/>
    <mergeCell ref="B22:O22"/>
    <mergeCell ref="A10:G10"/>
    <mergeCell ref="M15:O15"/>
    <mergeCell ref="B27:O27"/>
    <mergeCell ref="B21:O21"/>
    <mergeCell ref="M18:O18"/>
    <mergeCell ref="J15:K15"/>
    <mergeCell ref="B23:O23"/>
    <mergeCell ref="H17:I17"/>
    <mergeCell ref="M14:O14"/>
    <mergeCell ref="D3:G3"/>
    <mergeCell ref="I5:I9"/>
    <mergeCell ref="M16:O16"/>
    <mergeCell ref="A3:A9"/>
    <mergeCell ref="B3:B4"/>
    <mergeCell ref="J14:K14"/>
    <mergeCell ref="K3:O9"/>
    <mergeCell ref="A12:G18"/>
    <mergeCell ref="M13:O13"/>
    <mergeCell ref="H10:O10"/>
    <mergeCell ref="J5:J9"/>
    <mergeCell ref="H16:I16"/>
    <mergeCell ref="H11:O11"/>
    <mergeCell ref="J16:K16"/>
    <mergeCell ref="H15:I15"/>
    <mergeCell ref="I3:I4"/>
    <mergeCell ref="M17:O17"/>
  </mergeCells>
  <pageMargins left="0.7" right="0.7" top="0.75" bottom="0.75" header="0.511811023622047" footer="0.511811023622047"/>
  <pageSetup paperSize="9" scale="50"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topLeftCell="A19" zoomScale="70" zoomScaleNormal="70" workbookViewId="0">
      <selection activeCell="L14" sqref="L14:L18"/>
    </sheetView>
  </sheetViews>
  <sheetFormatPr baseColWidth="10" defaultColWidth="11.453125" defaultRowHeight="14.75" x14ac:dyDescent="0.75"/>
  <cols>
    <col min="1" max="1" width="30" style="124" customWidth="1"/>
    <col min="2" max="2" width="15.2265625" style="124" customWidth="1"/>
    <col min="5" max="7" width="12.2265625" style="124" customWidth="1"/>
    <col min="9" max="9" width="22.453125" style="124" customWidth="1"/>
    <col min="11" max="11" width="4.453125" style="124" customWidth="1"/>
    <col min="14" max="14" width="7.453125" style="124" customWidth="1"/>
    <col min="15" max="15" width="3.453125" style="124" hidden="1"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0.75" customHeight="1" x14ac:dyDescent="0.75">
      <c r="A2" s="126" t="s">
        <v>214</v>
      </c>
      <c r="B2" s="126" t="s">
        <v>215</v>
      </c>
      <c r="C2" s="261" t="s">
        <v>216</v>
      </c>
      <c r="D2" s="210"/>
      <c r="E2" s="210"/>
      <c r="F2" s="210"/>
      <c r="G2" s="211"/>
      <c r="H2" s="264" t="s">
        <v>217</v>
      </c>
      <c r="I2" s="210"/>
      <c r="J2" s="211"/>
      <c r="K2" s="261" t="s">
        <v>218</v>
      </c>
      <c r="L2" s="210"/>
      <c r="M2" s="210"/>
      <c r="N2" s="210"/>
      <c r="O2" s="211"/>
    </row>
    <row r="3" spans="1:15" ht="14.25" customHeight="1" x14ac:dyDescent="0.75">
      <c r="A3" s="240" t="s">
        <v>426</v>
      </c>
      <c r="B3" s="240"/>
      <c r="C3" s="254" t="s">
        <v>219</v>
      </c>
      <c r="D3" s="240" t="s">
        <v>220</v>
      </c>
      <c r="E3" s="210"/>
      <c r="F3" s="210"/>
      <c r="G3" s="211"/>
      <c r="H3" s="254" t="s">
        <v>38</v>
      </c>
      <c r="I3" s="254" t="s">
        <v>221</v>
      </c>
      <c r="J3" s="254" t="s">
        <v>222</v>
      </c>
      <c r="K3" s="250" t="s">
        <v>427</v>
      </c>
      <c r="L3" s="242"/>
      <c r="M3" s="242"/>
      <c r="N3" s="242"/>
      <c r="O3" s="243"/>
    </row>
    <row r="4" spans="1:15" ht="36" customHeight="1" x14ac:dyDescent="0.75">
      <c r="A4" s="224"/>
      <c r="B4" s="213"/>
      <c r="C4" s="213"/>
      <c r="D4" s="129">
        <v>2024</v>
      </c>
      <c r="E4" s="129">
        <v>2025</v>
      </c>
      <c r="F4" s="129">
        <v>2026</v>
      </c>
      <c r="G4" s="129">
        <v>2027</v>
      </c>
      <c r="H4" s="213"/>
      <c r="I4" s="213"/>
      <c r="J4" s="213"/>
      <c r="K4" s="244"/>
      <c r="L4" s="207"/>
      <c r="M4" s="207"/>
      <c r="N4" s="207"/>
      <c r="O4" s="245"/>
    </row>
    <row r="5" spans="1:15" ht="15" customHeight="1" x14ac:dyDescent="0.75">
      <c r="A5" s="224"/>
      <c r="B5" s="130" t="s">
        <v>224</v>
      </c>
      <c r="C5" s="57"/>
      <c r="D5" s="57"/>
      <c r="E5" s="57"/>
      <c r="F5" s="57"/>
      <c r="G5" s="57">
        <v>270000</v>
      </c>
      <c r="H5" s="262" t="s">
        <v>428</v>
      </c>
      <c r="I5" s="241" t="s">
        <v>429</v>
      </c>
      <c r="J5" s="241" t="s">
        <v>46</v>
      </c>
      <c r="K5" s="244"/>
      <c r="L5" s="207"/>
      <c r="M5" s="207"/>
      <c r="N5" s="207"/>
      <c r="O5" s="245"/>
    </row>
    <row r="6" spans="1:15" ht="15" customHeight="1" x14ac:dyDescent="0.75">
      <c r="A6" s="224"/>
      <c r="B6" s="130" t="s">
        <v>227</v>
      </c>
      <c r="C6" s="57"/>
      <c r="D6" s="57"/>
      <c r="E6" s="57"/>
      <c r="F6" s="57"/>
      <c r="G6" s="57">
        <v>150000</v>
      </c>
      <c r="H6" s="224"/>
      <c r="I6" s="224"/>
      <c r="J6" s="224"/>
      <c r="K6" s="244"/>
      <c r="L6" s="207"/>
      <c r="M6" s="207"/>
      <c r="N6" s="207"/>
      <c r="O6" s="245"/>
    </row>
    <row r="7" spans="1:15" ht="15" customHeight="1" x14ac:dyDescent="0.75">
      <c r="A7" s="224"/>
      <c r="B7" s="130" t="s">
        <v>228</v>
      </c>
      <c r="C7" s="58"/>
      <c r="D7" s="58">
        <v>18000</v>
      </c>
      <c r="E7" s="58">
        <v>33000</v>
      </c>
      <c r="F7" s="58">
        <v>27000</v>
      </c>
      <c r="G7" s="58">
        <v>180000</v>
      </c>
      <c r="H7" s="224"/>
      <c r="I7" s="224"/>
      <c r="J7" s="224"/>
      <c r="K7" s="244"/>
      <c r="L7" s="207"/>
      <c r="M7" s="207"/>
      <c r="N7" s="207"/>
      <c r="O7" s="245"/>
    </row>
    <row r="8" spans="1:15" ht="15" customHeight="1" x14ac:dyDescent="0.75">
      <c r="A8" s="224"/>
      <c r="B8" s="130" t="s">
        <v>229</v>
      </c>
      <c r="C8" s="58"/>
      <c r="D8" s="58"/>
      <c r="E8" s="58"/>
      <c r="F8" s="58"/>
      <c r="G8" s="58"/>
      <c r="H8" s="224"/>
      <c r="I8" s="224"/>
      <c r="J8" s="224"/>
      <c r="K8" s="244"/>
      <c r="L8" s="207"/>
      <c r="M8" s="207"/>
      <c r="N8" s="207"/>
      <c r="O8" s="245"/>
    </row>
    <row r="9" spans="1:15" ht="23.25" customHeight="1" x14ac:dyDescent="0.75">
      <c r="A9" s="213"/>
      <c r="B9" s="59" t="s">
        <v>230</v>
      </c>
      <c r="C9" s="60">
        <v>0</v>
      </c>
      <c r="D9" s="79"/>
      <c r="E9" s="79"/>
      <c r="F9" s="79"/>
      <c r="G9" s="79">
        <v>600000</v>
      </c>
      <c r="H9" s="213"/>
      <c r="I9" s="213"/>
      <c r="J9" s="213"/>
      <c r="K9" s="246"/>
      <c r="L9" s="216"/>
      <c r="M9" s="216"/>
      <c r="N9" s="216"/>
      <c r="O9" s="247"/>
    </row>
    <row r="10" spans="1:15" ht="15.75" customHeight="1" x14ac:dyDescent="0.75">
      <c r="A10" s="258" t="s">
        <v>231</v>
      </c>
      <c r="B10" s="210"/>
      <c r="C10" s="210"/>
      <c r="D10" s="210"/>
      <c r="E10" s="210"/>
      <c r="F10" s="210"/>
      <c r="G10" s="211"/>
      <c r="H10" s="250" t="s">
        <v>430</v>
      </c>
      <c r="I10" s="210"/>
      <c r="J10" s="210"/>
      <c r="K10" s="210"/>
      <c r="L10" s="210"/>
      <c r="M10" s="210"/>
      <c r="N10" s="210"/>
      <c r="O10" s="211"/>
    </row>
    <row r="11" spans="1:15" ht="15.75" customHeight="1" x14ac:dyDescent="0.75">
      <c r="A11" s="263" t="s">
        <v>232</v>
      </c>
      <c r="B11" s="210"/>
      <c r="C11" s="211"/>
      <c r="D11" s="240" t="s">
        <v>426</v>
      </c>
      <c r="E11" s="210"/>
      <c r="F11" s="210"/>
      <c r="G11" s="211"/>
      <c r="H11" s="253" t="s">
        <v>440</v>
      </c>
      <c r="I11" s="210"/>
      <c r="J11" s="210"/>
      <c r="K11" s="210"/>
      <c r="L11" s="210"/>
      <c r="M11" s="210"/>
      <c r="N11" s="210"/>
      <c r="O11" s="211"/>
    </row>
    <row r="12" spans="1:15" ht="14.25" customHeight="1" x14ac:dyDescent="0.75">
      <c r="A12" s="268" t="s">
        <v>432</v>
      </c>
      <c r="B12" s="242"/>
      <c r="C12" s="242"/>
      <c r="D12" s="242"/>
      <c r="E12" s="242"/>
      <c r="F12" s="242"/>
      <c r="G12" s="243"/>
      <c r="H12" s="240" t="s">
        <v>235</v>
      </c>
      <c r="I12" s="210"/>
      <c r="J12" s="210"/>
      <c r="K12" s="210"/>
      <c r="L12" s="210"/>
      <c r="M12" s="210"/>
      <c r="N12" s="210"/>
      <c r="O12" s="211"/>
    </row>
    <row r="13" spans="1:15" ht="15" customHeight="1" x14ac:dyDescent="0.75">
      <c r="A13" s="244"/>
      <c r="B13" s="207"/>
      <c r="C13" s="207"/>
      <c r="D13" s="207"/>
      <c r="E13" s="207"/>
      <c r="F13" s="207"/>
      <c r="G13" s="245"/>
      <c r="H13" s="240" t="s">
        <v>236</v>
      </c>
      <c r="I13" s="211"/>
      <c r="J13" s="240" t="s">
        <v>237</v>
      </c>
      <c r="K13" s="211"/>
      <c r="L13" s="129" t="s">
        <v>238</v>
      </c>
      <c r="M13" s="240" t="s">
        <v>272</v>
      </c>
      <c r="N13" s="210"/>
      <c r="O13" s="211"/>
    </row>
    <row r="14" spans="1:15" ht="15.75" customHeight="1" x14ac:dyDescent="0.75">
      <c r="A14" s="244"/>
      <c r="B14" s="207"/>
      <c r="C14" s="207"/>
      <c r="D14" s="207"/>
      <c r="E14" s="207"/>
      <c r="F14" s="207"/>
      <c r="G14" s="245"/>
      <c r="H14" s="252" t="s">
        <v>240</v>
      </c>
      <c r="I14" s="211"/>
      <c r="J14" s="368">
        <v>0</v>
      </c>
      <c r="K14" s="211"/>
      <c r="L14" s="53" t="str">
        <f>IFERROR(M14/J14,"")</f>
        <v/>
      </c>
      <c r="M14" s="269">
        <v>0</v>
      </c>
      <c r="N14" s="210"/>
      <c r="O14" s="211"/>
    </row>
    <row r="15" spans="1:15" ht="15.75" customHeight="1" x14ac:dyDescent="0.75">
      <c r="A15" s="244"/>
      <c r="B15" s="207"/>
      <c r="C15" s="207"/>
      <c r="D15" s="207"/>
      <c r="E15" s="207"/>
      <c r="F15" s="207"/>
      <c r="G15" s="245"/>
      <c r="H15" s="252">
        <v>2024</v>
      </c>
      <c r="I15" s="211"/>
      <c r="J15" s="369">
        <v>9140</v>
      </c>
      <c r="K15" s="211"/>
      <c r="L15" s="53">
        <f>IFERROR(M15/J15,"")</f>
        <v>1.9693654266958425</v>
      </c>
      <c r="M15" s="269">
        <v>18000</v>
      </c>
      <c r="N15" s="210"/>
      <c r="O15" s="211"/>
    </row>
    <row r="16" spans="1:15" ht="15.75" customHeight="1" x14ac:dyDescent="0.75">
      <c r="A16" s="244"/>
      <c r="B16" s="207"/>
      <c r="C16" s="207"/>
      <c r="D16" s="207"/>
      <c r="E16" s="207"/>
      <c r="F16" s="207"/>
      <c r="G16" s="245"/>
      <c r="H16" s="252">
        <v>2025</v>
      </c>
      <c r="I16" s="211"/>
      <c r="J16" s="369">
        <v>29807</v>
      </c>
      <c r="K16" s="211"/>
      <c r="L16" s="53">
        <f>IFERROR(M16/J16,"")</f>
        <v>1.107122488006173</v>
      </c>
      <c r="M16" s="269">
        <v>33000</v>
      </c>
      <c r="N16" s="210"/>
      <c r="O16" s="211"/>
    </row>
    <row r="17" spans="1:15" ht="15.75" customHeight="1" x14ac:dyDescent="0.75">
      <c r="A17" s="244"/>
      <c r="B17" s="207"/>
      <c r="C17" s="207"/>
      <c r="D17" s="207"/>
      <c r="E17" s="207"/>
      <c r="F17" s="207"/>
      <c r="G17" s="245"/>
      <c r="H17" s="252">
        <v>2026</v>
      </c>
      <c r="I17" s="211"/>
      <c r="J17" s="369"/>
      <c r="K17" s="211"/>
      <c r="L17" s="53" t="str">
        <f>IFERROR(M17/J17,"")</f>
        <v/>
      </c>
      <c r="M17" s="269">
        <v>700000</v>
      </c>
      <c r="N17" s="210"/>
      <c r="O17" s="211"/>
    </row>
    <row r="18" spans="1:15" ht="15.75" customHeight="1" x14ac:dyDescent="0.75">
      <c r="A18" s="246"/>
      <c r="B18" s="216"/>
      <c r="C18" s="216"/>
      <c r="D18" s="216"/>
      <c r="E18" s="216"/>
      <c r="F18" s="216"/>
      <c r="G18" s="247"/>
      <c r="H18" s="252">
        <v>2027</v>
      </c>
      <c r="I18" s="211"/>
      <c r="J18" s="369"/>
      <c r="K18" s="211"/>
      <c r="L18" s="53" t="str">
        <f>IFERROR(M18/J18,"")</f>
        <v/>
      </c>
      <c r="M18" s="269">
        <f>G9</f>
        <v>600000</v>
      </c>
      <c r="N18" s="210"/>
      <c r="O18" s="211"/>
    </row>
    <row r="19" spans="1:15" ht="35.25" customHeight="1" x14ac:dyDescent="0.75">
      <c r="A19" s="54" t="s">
        <v>302</v>
      </c>
      <c r="B19" s="256" t="s">
        <v>433</v>
      </c>
      <c r="C19" s="210"/>
      <c r="D19" s="210"/>
      <c r="E19" s="210"/>
      <c r="F19" s="210"/>
      <c r="G19" s="210"/>
      <c r="H19" s="210"/>
      <c r="I19" s="210"/>
      <c r="J19" s="210"/>
      <c r="K19" s="210"/>
      <c r="L19" s="210"/>
      <c r="M19" s="210"/>
      <c r="N19" s="210"/>
      <c r="O19" s="211"/>
    </row>
    <row r="20" spans="1:15" ht="14.25" customHeight="1" x14ac:dyDescent="0.75">
      <c r="A20" s="54" t="s">
        <v>242</v>
      </c>
      <c r="B20" s="256" t="s">
        <v>434</v>
      </c>
      <c r="C20" s="210"/>
      <c r="D20" s="210"/>
      <c r="E20" s="210"/>
      <c r="F20" s="210"/>
      <c r="G20" s="210"/>
      <c r="H20" s="210"/>
      <c r="I20" s="210"/>
      <c r="J20" s="210"/>
      <c r="K20" s="210"/>
      <c r="L20" s="210"/>
      <c r="M20" s="210"/>
      <c r="N20" s="210"/>
      <c r="O20" s="211"/>
    </row>
    <row r="21" spans="1:15" ht="14.25" customHeight="1" x14ac:dyDescent="0.75">
      <c r="A21" s="54" t="s">
        <v>243</v>
      </c>
      <c r="B21" s="256" t="s">
        <v>435</v>
      </c>
      <c r="C21" s="210"/>
      <c r="D21" s="210"/>
      <c r="E21" s="210"/>
      <c r="F21" s="210"/>
      <c r="G21" s="210"/>
      <c r="H21" s="210"/>
      <c r="I21" s="210"/>
      <c r="J21" s="210"/>
      <c r="K21" s="210"/>
      <c r="L21" s="210"/>
      <c r="M21" s="210"/>
      <c r="N21" s="210"/>
      <c r="O21" s="211"/>
    </row>
    <row r="22" spans="1:15" ht="14.25" customHeight="1" x14ac:dyDescent="0.75">
      <c r="A22" s="54" t="s">
        <v>276</v>
      </c>
      <c r="B22" s="256" t="s">
        <v>427</v>
      </c>
      <c r="C22" s="210"/>
      <c r="D22" s="210"/>
      <c r="E22" s="210"/>
      <c r="F22" s="210"/>
      <c r="G22" s="210"/>
      <c r="H22" s="210"/>
      <c r="I22" s="210"/>
      <c r="J22" s="210"/>
      <c r="K22" s="210"/>
      <c r="L22" s="210"/>
      <c r="M22" s="210"/>
      <c r="N22" s="210"/>
      <c r="O22" s="211"/>
    </row>
    <row r="23" spans="1:15" ht="15" customHeight="1" x14ac:dyDescent="0.75">
      <c r="A23" s="62" t="s">
        <v>278</v>
      </c>
      <c r="B23" s="267" t="s">
        <v>279</v>
      </c>
      <c r="C23" s="210"/>
      <c r="D23" s="210"/>
      <c r="E23" s="210"/>
      <c r="F23" s="210"/>
      <c r="G23" s="210"/>
      <c r="H23" s="210"/>
      <c r="I23" s="210"/>
      <c r="J23" s="210"/>
      <c r="K23" s="210"/>
      <c r="L23" s="210"/>
      <c r="M23" s="210"/>
      <c r="N23" s="210"/>
      <c r="O23" s="211"/>
    </row>
    <row r="24" spans="1:15" ht="15" customHeight="1" x14ac:dyDescent="0.75">
      <c r="A24" s="62" t="s">
        <v>306</v>
      </c>
      <c r="B24" s="267" t="s">
        <v>280</v>
      </c>
      <c r="C24" s="210"/>
      <c r="D24" s="210"/>
      <c r="E24" s="210"/>
      <c r="F24" s="210"/>
      <c r="G24" s="210"/>
      <c r="H24" s="210"/>
      <c r="I24" s="210"/>
      <c r="J24" s="210"/>
      <c r="K24" s="210"/>
      <c r="L24" s="210"/>
      <c r="M24" s="210"/>
      <c r="N24" s="210"/>
      <c r="O24" s="211"/>
    </row>
    <row r="25" spans="1:15" ht="15" customHeight="1" x14ac:dyDescent="0.75">
      <c r="A25" s="62" t="s">
        <v>251</v>
      </c>
      <c r="B25" s="267" t="s">
        <v>281</v>
      </c>
      <c r="C25" s="210"/>
      <c r="D25" s="210"/>
      <c r="E25" s="210"/>
      <c r="F25" s="210"/>
      <c r="G25" s="210"/>
      <c r="H25" s="210"/>
      <c r="I25" s="210"/>
      <c r="J25" s="210"/>
      <c r="K25" s="210"/>
      <c r="L25" s="210"/>
      <c r="M25" s="210"/>
      <c r="N25" s="210"/>
      <c r="O25" s="211"/>
    </row>
    <row r="26" spans="1:15" ht="15" customHeight="1" x14ac:dyDescent="0.75">
      <c r="A26" s="62" t="s">
        <v>253</v>
      </c>
      <c r="B26" s="267" t="s">
        <v>282</v>
      </c>
      <c r="C26" s="210"/>
      <c r="D26" s="210"/>
      <c r="E26" s="210"/>
      <c r="F26" s="210"/>
      <c r="G26" s="210"/>
      <c r="H26" s="210"/>
      <c r="I26" s="210"/>
      <c r="J26" s="210"/>
      <c r="K26" s="210"/>
      <c r="L26" s="210"/>
      <c r="M26" s="210"/>
      <c r="N26" s="210"/>
      <c r="O26" s="211"/>
    </row>
    <row r="27" spans="1:15" ht="15" customHeight="1" x14ac:dyDescent="0.75">
      <c r="A27" s="62" t="s">
        <v>310</v>
      </c>
      <c r="B27" s="259" t="s">
        <v>436</v>
      </c>
      <c r="C27" s="210"/>
      <c r="D27" s="210"/>
      <c r="E27" s="210"/>
      <c r="F27" s="210"/>
      <c r="G27" s="210"/>
      <c r="H27" s="210"/>
      <c r="I27" s="210"/>
      <c r="J27" s="210"/>
      <c r="K27" s="210"/>
      <c r="L27" s="210"/>
      <c r="M27" s="210"/>
      <c r="N27" s="210"/>
      <c r="O27" s="211"/>
    </row>
    <row r="28" spans="1:15" ht="14.25" customHeight="1" x14ac:dyDescent="0.75">
      <c r="A28" s="54" t="s">
        <v>257</v>
      </c>
      <c r="B28" s="256" t="s">
        <v>437</v>
      </c>
      <c r="C28" s="210"/>
      <c r="D28" s="210"/>
      <c r="E28" s="210"/>
      <c r="F28" s="210"/>
      <c r="G28" s="210"/>
      <c r="H28" s="210"/>
      <c r="I28" s="210"/>
      <c r="J28" s="210"/>
      <c r="K28" s="210"/>
      <c r="L28" s="210"/>
      <c r="M28" s="210"/>
      <c r="N28" s="210"/>
      <c r="O28" s="211"/>
    </row>
    <row r="29" spans="1:15" ht="15" customHeight="1" x14ac:dyDescent="0.75">
      <c r="A29" s="80" t="s">
        <v>258</v>
      </c>
      <c r="B29" s="259" t="s">
        <v>428</v>
      </c>
      <c r="C29" s="210"/>
      <c r="D29" s="210"/>
      <c r="E29" s="210"/>
      <c r="F29" s="210"/>
      <c r="G29" s="210"/>
      <c r="H29" s="210"/>
      <c r="I29" s="210"/>
      <c r="J29" s="210"/>
      <c r="K29" s="210"/>
      <c r="L29" s="210"/>
      <c r="M29" s="210"/>
      <c r="N29" s="210"/>
      <c r="O29" s="211"/>
    </row>
    <row r="30" spans="1:15" ht="15.75" customHeight="1" x14ac:dyDescent="0.75">
      <c r="A30" s="54" t="s">
        <v>259</v>
      </c>
      <c r="B30" s="256" t="s">
        <v>260</v>
      </c>
      <c r="C30" s="210"/>
      <c r="D30" s="210"/>
      <c r="E30" s="210"/>
      <c r="F30" s="210"/>
      <c r="G30" s="210"/>
      <c r="H30" s="210"/>
      <c r="I30" s="210"/>
      <c r="J30" s="210"/>
      <c r="K30" s="210"/>
      <c r="L30" s="210"/>
      <c r="M30" s="210"/>
      <c r="N30" s="210"/>
      <c r="O30" s="211"/>
    </row>
    <row r="31" spans="1:15" ht="15" customHeight="1" x14ac:dyDescent="0.75">
      <c r="A31" s="62" t="s">
        <v>261</v>
      </c>
      <c r="B31" s="259" t="s">
        <v>438</v>
      </c>
      <c r="C31" s="210"/>
      <c r="D31" s="210"/>
      <c r="E31" s="210"/>
      <c r="F31" s="210"/>
      <c r="G31" s="210"/>
      <c r="H31" s="210"/>
      <c r="I31" s="210"/>
      <c r="J31" s="210"/>
      <c r="K31" s="210"/>
      <c r="L31" s="210"/>
      <c r="M31" s="210"/>
      <c r="N31" s="210"/>
      <c r="O31" s="211"/>
    </row>
    <row r="32" spans="1:15" ht="64.95" customHeight="1" x14ac:dyDescent="0.75">
      <c r="A32" s="54" t="s">
        <v>285</v>
      </c>
      <c r="B32" s="271" t="s">
        <v>439</v>
      </c>
      <c r="C32" s="210"/>
      <c r="D32" s="210"/>
      <c r="E32" s="210"/>
      <c r="F32" s="210"/>
      <c r="G32" s="210"/>
      <c r="H32" s="210"/>
      <c r="I32" s="210"/>
      <c r="J32" s="210"/>
      <c r="K32" s="210"/>
      <c r="L32" s="210"/>
      <c r="M32" s="210"/>
      <c r="N32" s="210"/>
      <c r="O32" s="211"/>
    </row>
  </sheetData>
  <mergeCells count="54">
    <mergeCell ref="B32:O32"/>
    <mergeCell ref="J17:K17"/>
    <mergeCell ref="B30:O30"/>
    <mergeCell ref="H15:I15"/>
    <mergeCell ref="H18:I18"/>
    <mergeCell ref="B23:O23"/>
    <mergeCell ref="H17:I17"/>
    <mergeCell ref="B26:O26"/>
    <mergeCell ref="A1:O1"/>
    <mergeCell ref="J18:K18"/>
    <mergeCell ref="B20:O20"/>
    <mergeCell ref="H14:I14"/>
    <mergeCell ref="B29:O29"/>
    <mergeCell ref="J3:J4"/>
    <mergeCell ref="B19:O19"/>
    <mergeCell ref="D11:G11"/>
    <mergeCell ref="B28:O28"/>
    <mergeCell ref="H13:I13"/>
    <mergeCell ref="H12:O12"/>
    <mergeCell ref="A11:C11"/>
    <mergeCell ref="C3:C4"/>
    <mergeCell ref="B24:O24"/>
    <mergeCell ref="C2:G2"/>
    <mergeCell ref="J16:K16"/>
    <mergeCell ref="K2:O2"/>
    <mergeCell ref="H3:H4"/>
    <mergeCell ref="H5:H9"/>
    <mergeCell ref="H2:J2"/>
    <mergeCell ref="B31:O31"/>
    <mergeCell ref="M16:O16"/>
    <mergeCell ref="J13:K13"/>
    <mergeCell ref="B22:O22"/>
    <mergeCell ref="A10:G10"/>
    <mergeCell ref="M15:O15"/>
    <mergeCell ref="B27:O27"/>
    <mergeCell ref="B21:O21"/>
    <mergeCell ref="M18:O18"/>
    <mergeCell ref="J15:K15"/>
    <mergeCell ref="I3:I4"/>
    <mergeCell ref="M17:O17"/>
    <mergeCell ref="D3:G3"/>
    <mergeCell ref="I5:I9"/>
    <mergeCell ref="K3:O9"/>
    <mergeCell ref="B25:O25"/>
    <mergeCell ref="A3:A9"/>
    <mergeCell ref="B3:B4"/>
    <mergeCell ref="J14:K14"/>
    <mergeCell ref="A12:G18"/>
    <mergeCell ref="M13:O13"/>
    <mergeCell ref="H10:O10"/>
    <mergeCell ref="J5:J9"/>
    <mergeCell ref="H16:I16"/>
    <mergeCell ref="H11:O11"/>
    <mergeCell ref="M14:O14"/>
  </mergeCells>
  <pageMargins left="0.7" right="0.7" top="0.75" bottom="0.75" header="0.511811023622047" footer="0.511811023622047"/>
  <pageSetup paperSize="9" scale="50"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opLeftCell="A6" zoomScaleNormal="100" workbookViewId="0">
      <selection activeCell="L15" sqref="L15:L19"/>
    </sheetView>
  </sheetViews>
  <sheetFormatPr baseColWidth="10" defaultColWidth="11.453125" defaultRowHeight="14.75" x14ac:dyDescent="0.75"/>
  <cols>
    <col min="2" max="2" width="19.76953125" style="124" customWidth="1"/>
    <col min="4" max="7" width="5.453125" style="124" customWidth="1"/>
    <col min="8" max="8" width="12.2265625" style="124" customWidth="1"/>
    <col min="9" max="9" width="29.453125" style="124" customWidth="1"/>
    <col min="10" max="10" width="14" style="124" customWidth="1"/>
    <col min="11" max="11" width="4.2265625" style="124" customWidth="1"/>
    <col min="12" max="12" width="8.453125" style="124" customWidth="1"/>
    <col min="14" max="14" width="7.2265625" style="124" customWidth="1"/>
    <col min="15" max="15" width="2.453125" style="124"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9" customHeight="1" x14ac:dyDescent="0.75">
      <c r="A2" s="126" t="s">
        <v>214</v>
      </c>
      <c r="B2" s="126" t="s">
        <v>215</v>
      </c>
      <c r="C2" s="261" t="s">
        <v>216</v>
      </c>
      <c r="D2" s="210"/>
      <c r="E2" s="210"/>
      <c r="F2" s="210"/>
      <c r="G2" s="211"/>
      <c r="H2" s="264" t="s">
        <v>414</v>
      </c>
      <c r="I2" s="210"/>
      <c r="J2" s="211"/>
      <c r="K2" s="261" t="s">
        <v>415</v>
      </c>
      <c r="L2" s="210"/>
      <c r="M2" s="210"/>
      <c r="N2" s="210"/>
      <c r="O2" s="211"/>
    </row>
    <row r="3" spans="1:15" ht="14.25" customHeight="1" x14ac:dyDescent="0.75">
      <c r="A3" s="252" t="s">
        <v>96</v>
      </c>
      <c r="B3" s="240"/>
      <c r="C3" s="385" t="s">
        <v>219</v>
      </c>
      <c r="D3" s="240" t="s">
        <v>220</v>
      </c>
      <c r="E3" s="210"/>
      <c r="F3" s="210"/>
      <c r="G3" s="211"/>
      <c r="H3" s="254" t="s">
        <v>38</v>
      </c>
      <c r="I3" s="254" t="s">
        <v>221</v>
      </c>
      <c r="J3" s="254" t="s">
        <v>222</v>
      </c>
      <c r="K3" s="374" t="s">
        <v>441</v>
      </c>
      <c r="L3" s="242"/>
      <c r="M3" s="242"/>
      <c r="N3" s="242"/>
      <c r="O3" s="243"/>
    </row>
    <row r="4" spans="1:15" ht="61.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81" t="s">
        <v>224</v>
      </c>
      <c r="C5" s="57"/>
      <c r="D5" s="57"/>
      <c r="E5" s="57"/>
      <c r="F5" s="57"/>
      <c r="G5" s="57"/>
      <c r="H5" s="262" t="s">
        <v>428</v>
      </c>
      <c r="I5" s="241" t="s">
        <v>442</v>
      </c>
      <c r="J5" s="241" t="s">
        <v>46</v>
      </c>
      <c r="K5" s="244"/>
      <c r="L5" s="207"/>
      <c r="M5" s="207"/>
      <c r="N5" s="207"/>
      <c r="O5" s="245"/>
    </row>
    <row r="6" spans="1:15" ht="15" customHeight="1" x14ac:dyDescent="0.75">
      <c r="A6" s="224"/>
      <c r="B6" s="81" t="s">
        <v>227</v>
      </c>
      <c r="C6" s="57"/>
      <c r="D6" s="57"/>
      <c r="E6" s="57"/>
      <c r="F6" s="57"/>
      <c r="G6" s="57"/>
      <c r="H6" s="224"/>
      <c r="I6" s="224"/>
      <c r="J6" s="224"/>
      <c r="K6" s="244"/>
      <c r="L6" s="207"/>
      <c r="M6" s="207"/>
      <c r="N6" s="207"/>
      <c r="O6" s="245"/>
    </row>
    <row r="7" spans="1:15" ht="15" customHeight="1" x14ac:dyDescent="0.75">
      <c r="A7" s="224"/>
      <c r="B7" s="81" t="s">
        <v>228</v>
      </c>
      <c r="C7" s="58"/>
      <c r="D7" s="58"/>
      <c r="E7" s="58"/>
      <c r="F7" s="58"/>
      <c r="G7" s="58"/>
      <c r="H7" s="224"/>
      <c r="I7" s="224"/>
      <c r="J7" s="224"/>
      <c r="K7" s="244"/>
      <c r="L7" s="207"/>
      <c r="M7" s="207"/>
      <c r="N7" s="207"/>
      <c r="O7" s="245"/>
    </row>
    <row r="8" spans="1:15" ht="15" customHeight="1" x14ac:dyDescent="0.75">
      <c r="A8" s="224"/>
      <c r="B8" s="81" t="s">
        <v>229</v>
      </c>
      <c r="C8" s="58"/>
      <c r="D8" s="58"/>
      <c r="E8" s="58"/>
      <c r="F8" s="58"/>
      <c r="G8" s="58"/>
      <c r="H8" s="224"/>
      <c r="I8" s="224"/>
      <c r="J8" s="224"/>
      <c r="K8" s="244"/>
      <c r="L8" s="207"/>
      <c r="M8" s="207"/>
      <c r="N8" s="207"/>
      <c r="O8" s="245"/>
    </row>
    <row r="9" spans="1:15" ht="30.75" customHeight="1" x14ac:dyDescent="0.75">
      <c r="A9" s="213"/>
      <c r="B9" s="82" t="s">
        <v>230</v>
      </c>
      <c r="C9" s="69"/>
      <c r="D9" s="69">
        <v>0</v>
      </c>
      <c r="E9" s="69">
        <v>0</v>
      </c>
      <c r="F9" s="69">
        <v>400</v>
      </c>
      <c r="G9" s="69">
        <f>+F9</f>
        <v>400</v>
      </c>
      <c r="H9" s="213"/>
      <c r="I9" s="213"/>
      <c r="J9" s="213"/>
      <c r="K9" s="246"/>
      <c r="L9" s="216"/>
      <c r="M9" s="216"/>
      <c r="N9" s="216"/>
      <c r="O9" s="247"/>
    </row>
    <row r="10" spans="1:15" s="3" customFormat="1" ht="15.75" customHeight="1" x14ac:dyDescent="0.75">
      <c r="A10" s="258" t="s">
        <v>12</v>
      </c>
      <c r="B10" s="210"/>
      <c r="C10" s="210"/>
      <c r="D10" s="210"/>
      <c r="E10" s="210"/>
      <c r="F10" s="210"/>
      <c r="G10" s="211"/>
      <c r="H10" s="375" t="s">
        <v>17</v>
      </c>
      <c r="I10" s="210"/>
      <c r="J10" s="210"/>
      <c r="K10" s="210"/>
      <c r="L10" s="210"/>
      <c r="M10" s="210"/>
      <c r="N10" s="210"/>
      <c r="O10" s="211"/>
    </row>
    <row r="11" spans="1:15" s="3" customFormat="1" ht="15.75" customHeight="1" x14ac:dyDescent="0.75">
      <c r="A11" s="379" t="s">
        <v>14</v>
      </c>
      <c r="B11" s="210"/>
      <c r="C11" s="210"/>
      <c r="D11" s="210"/>
      <c r="E11" s="210"/>
      <c r="F11" s="210"/>
      <c r="G11" s="211"/>
      <c r="H11" s="375" t="s">
        <v>15</v>
      </c>
      <c r="I11" s="210"/>
      <c r="J11" s="210"/>
      <c r="K11" s="210"/>
      <c r="L11" s="210"/>
      <c r="M11" s="210"/>
      <c r="N11" s="210"/>
      <c r="O11" s="211"/>
    </row>
    <row r="12" spans="1:15" s="3" customFormat="1" ht="15.75" customHeight="1" x14ac:dyDescent="0.75">
      <c r="A12" s="375" t="s">
        <v>416</v>
      </c>
      <c r="B12" s="211"/>
      <c r="C12" s="71"/>
      <c r="D12" s="372" t="str">
        <f>+A3</f>
        <v>IR2.1.1</v>
      </c>
      <c r="E12" s="210"/>
      <c r="F12" s="210"/>
      <c r="G12" s="211"/>
      <c r="H12" s="382" t="s">
        <v>443</v>
      </c>
      <c r="I12" s="210"/>
      <c r="J12" s="210"/>
      <c r="K12" s="210"/>
      <c r="L12" s="210"/>
      <c r="M12" s="210"/>
      <c r="N12" s="210"/>
      <c r="O12" s="211"/>
    </row>
    <row r="13" spans="1:15" ht="14.25" customHeight="1" x14ac:dyDescent="0.75">
      <c r="A13" s="268" t="s">
        <v>444</v>
      </c>
      <c r="B13" s="242"/>
      <c r="C13" s="242"/>
      <c r="D13" s="242"/>
      <c r="E13" s="242"/>
      <c r="F13" s="242"/>
      <c r="G13" s="243"/>
      <c r="H13" s="240" t="s">
        <v>235</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t="s">
        <v>238</v>
      </c>
      <c r="M14" s="240" t="s">
        <v>272</v>
      </c>
      <c r="N14" s="210"/>
      <c r="O14" s="211"/>
    </row>
    <row r="15" spans="1:15" ht="15.75" customHeight="1" x14ac:dyDescent="0.75">
      <c r="A15" s="244"/>
      <c r="B15" s="207"/>
      <c r="C15" s="207"/>
      <c r="D15" s="207"/>
      <c r="E15" s="207"/>
      <c r="F15" s="207"/>
      <c r="G15" s="245"/>
      <c r="H15" s="240" t="s">
        <v>240</v>
      </c>
      <c r="I15" s="211"/>
      <c r="J15" s="241"/>
      <c r="K15" s="211"/>
      <c r="L15" s="53" t="str">
        <f>IFERROR(M15/J15,"")</f>
        <v/>
      </c>
      <c r="M15" s="252">
        <f>C9</f>
        <v>0</v>
      </c>
      <c r="N15" s="210"/>
      <c r="O15" s="211"/>
    </row>
    <row r="16" spans="1:15" ht="15.75" customHeight="1" x14ac:dyDescent="0.75">
      <c r="A16" s="244"/>
      <c r="B16" s="207"/>
      <c r="C16" s="207"/>
      <c r="D16" s="207"/>
      <c r="E16" s="207"/>
      <c r="F16" s="207"/>
      <c r="G16" s="245"/>
      <c r="H16" s="240">
        <v>2024</v>
      </c>
      <c r="I16" s="211"/>
      <c r="J16" s="372"/>
      <c r="K16" s="211"/>
      <c r="L16" s="53" t="str">
        <f>IFERROR(M16/J16,"")</f>
        <v/>
      </c>
      <c r="M16" s="372">
        <f>D9</f>
        <v>0</v>
      </c>
      <c r="N16" s="210"/>
      <c r="O16" s="211"/>
    </row>
    <row r="17" spans="1:15" ht="15.75" customHeight="1" x14ac:dyDescent="0.75">
      <c r="A17" s="244"/>
      <c r="B17" s="207"/>
      <c r="C17" s="207"/>
      <c r="D17" s="207"/>
      <c r="E17" s="207"/>
      <c r="F17" s="207"/>
      <c r="G17" s="245"/>
      <c r="H17" s="240">
        <v>2025</v>
      </c>
      <c r="I17" s="211"/>
      <c r="J17" s="372"/>
      <c r="K17" s="211"/>
      <c r="L17" s="53" t="str">
        <f>IFERROR(M17/J17,"")</f>
        <v/>
      </c>
      <c r="M17" s="372">
        <f>E9</f>
        <v>0</v>
      </c>
      <c r="N17" s="210"/>
      <c r="O17" s="211"/>
    </row>
    <row r="18" spans="1:15" ht="15.75" customHeight="1" x14ac:dyDescent="0.75">
      <c r="A18" s="244"/>
      <c r="B18" s="207"/>
      <c r="C18" s="207"/>
      <c r="D18" s="207"/>
      <c r="E18" s="207"/>
      <c r="F18" s="207"/>
      <c r="G18" s="245"/>
      <c r="H18" s="240">
        <v>2026</v>
      </c>
      <c r="I18" s="211"/>
      <c r="J18" s="372"/>
      <c r="K18" s="211"/>
      <c r="L18" s="53" t="str">
        <f>IFERROR(M18/J18,"")</f>
        <v/>
      </c>
      <c r="M18" s="372">
        <f>F9</f>
        <v>400</v>
      </c>
      <c r="N18" s="210"/>
      <c r="O18" s="211"/>
    </row>
    <row r="19" spans="1:15" ht="15.75" customHeight="1" x14ac:dyDescent="0.75">
      <c r="A19" s="246"/>
      <c r="B19" s="216"/>
      <c r="C19" s="216"/>
      <c r="D19" s="216"/>
      <c r="E19" s="216"/>
      <c r="F19" s="216"/>
      <c r="G19" s="247"/>
      <c r="H19" s="240">
        <v>2027</v>
      </c>
      <c r="I19" s="211"/>
      <c r="J19" s="372"/>
      <c r="K19" s="211"/>
      <c r="L19" s="53" t="str">
        <f>IFERROR(M19/J19,"")</f>
        <v/>
      </c>
      <c r="M19" s="372">
        <f>G9</f>
        <v>400</v>
      </c>
      <c r="N19" s="210"/>
      <c r="O19" s="211"/>
    </row>
    <row r="20" spans="1:15" ht="14.25" customHeight="1" x14ac:dyDescent="0.75">
      <c r="A20" s="378" t="s">
        <v>241</v>
      </c>
      <c r="B20" s="211"/>
      <c r="C20" s="373" t="s">
        <v>445</v>
      </c>
      <c r="D20" s="210"/>
      <c r="E20" s="210"/>
      <c r="F20" s="210"/>
      <c r="G20" s="210"/>
      <c r="H20" s="210"/>
      <c r="I20" s="210"/>
      <c r="J20" s="210"/>
      <c r="K20" s="210"/>
      <c r="L20" s="210"/>
      <c r="M20" s="210"/>
      <c r="N20" s="210"/>
      <c r="O20" s="211"/>
    </row>
    <row r="21" spans="1:15" ht="14.25" customHeight="1" x14ac:dyDescent="0.75">
      <c r="A21" s="378" t="s">
        <v>242</v>
      </c>
      <c r="B21" s="211"/>
      <c r="C21" s="373" t="s">
        <v>17</v>
      </c>
      <c r="D21" s="210"/>
      <c r="E21" s="210"/>
      <c r="F21" s="210"/>
      <c r="G21" s="210"/>
      <c r="H21" s="210"/>
      <c r="I21" s="210"/>
      <c r="J21" s="210"/>
      <c r="K21" s="210"/>
      <c r="L21" s="210"/>
      <c r="M21" s="210"/>
      <c r="N21" s="210"/>
      <c r="O21" s="211"/>
    </row>
    <row r="22" spans="1:15" ht="14.25" customHeight="1" x14ac:dyDescent="0.75">
      <c r="A22" s="378" t="s">
        <v>243</v>
      </c>
      <c r="B22" s="211"/>
      <c r="C22" s="383" t="s">
        <v>446</v>
      </c>
      <c r="D22" s="210"/>
      <c r="E22" s="210"/>
      <c r="F22" s="210"/>
      <c r="G22" s="210"/>
      <c r="H22" s="210"/>
      <c r="I22" s="210"/>
      <c r="J22" s="210"/>
      <c r="K22" s="210"/>
      <c r="L22" s="210"/>
      <c r="M22" s="210"/>
      <c r="N22" s="210"/>
      <c r="O22" s="211"/>
    </row>
    <row r="23" spans="1:15" ht="14.25" customHeight="1" x14ac:dyDescent="0.75">
      <c r="A23" s="378" t="s">
        <v>276</v>
      </c>
      <c r="B23" s="211"/>
      <c r="C23" s="373" t="s">
        <v>447</v>
      </c>
      <c r="D23" s="210"/>
      <c r="E23" s="210"/>
      <c r="F23" s="210"/>
      <c r="G23" s="210"/>
      <c r="H23" s="210"/>
      <c r="I23" s="210"/>
      <c r="J23" s="210"/>
      <c r="K23" s="210"/>
      <c r="L23" s="210"/>
      <c r="M23" s="210"/>
      <c r="N23" s="210"/>
      <c r="O23" s="211"/>
    </row>
    <row r="24" spans="1:15" ht="15" customHeight="1" x14ac:dyDescent="0.75">
      <c r="A24" s="72" t="s">
        <v>278</v>
      </c>
      <c r="B24" s="73"/>
      <c r="C24" s="380" t="s">
        <v>448</v>
      </c>
      <c r="D24" s="210"/>
      <c r="E24" s="210"/>
      <c r="F24" s="210"/>
      <c r="G24" s="210"/>
      <c r="H24" s="210"/>
      <c r="I24" s="210"/>
      <c r="J24" s="210"/>
      <c r="K24" s="210"/>
      <c r="L24" s="210"/>
      <c r="M24" s="210"/>
      <c r="N24" s="210"/>
      <c r="O24" s="211"/>
    </row>
    <row r="25" spans="1:15" ht="15" customHeight="1" x14ac:dyDescent="0.75">
      <c r="A25" s="72" t="s">
        <v>306</v>
      </c>
      <c r="B25" s="73"/>
      <c r="C25" s="83" t="s">
        <v>449</v>
      </c>
      <c r="D25" s="75"/>
      <c r="E25" s="75"/>
      <c r="F25" s="75"/>
      <c r="G25" s="75"/>
      <c r="H25" s="75"/>
      <c r="I25" s="75"/>
      <c r="J25" s="75"/>
      <c r="K25" s="75"/>
      <c r="L25" s="75"/>
      <c r="M25" s="75"/>
      <c r="N25" s="75"/>
      <c r="O25" s="76"/>
    </row>
    <row r="26" spans="1:15" ht="15" customHeight="1" x14ac:dyDescent="0.75">
      <c r="A26" s="72" t="s">
        <v>251</v>
      </c>
      <c r="B26" s="73"/>
      <c r="C26" s="83" t="s">
        <v>450</v>
      </c>
      <c r="D26" s="75"/>
      <c r="E26" s="75"/>
      <c r="F26" s="75"/>
      <c r="G26" s="75"/>
      <c r="H26" s="75"/>
      <c r="I26" s="75"/>
      <c r="J26" s="75"/>
      <c r="K26" s="75"/>
      <c r="L26" s="75"/>
      <c r="M26" s="75"/>
      <c r="N26" s="75"/>
      <c r="O26" s="76"/>
    </row>
    <row r="27" spans="1:15" ht="15" customHeight="1" x14ac:dyDescent="0.75">
      <c r="A27" s="72" t="s">
        <v>253</v>
      </c>
      <c r="B27" s="73"/>
      <c r="C27" s="83" t="s">
        <v>46</v>
      </c>
      <c r="D27" s="75"/>
      <c r="E27" s="75"/>
      <c r="F27" s="75"/>
      <c r="G27" s="75"/>
      <c r="H27" s="75"/>
      <c r="I27" s="75"/>
      <c r="J27" s="75"/>
      <c r="K27" s="75"/>
      <c r="L27" s="75"/>
      <c r="M27" s="75"/>
      <c r="N27" s="75"/>
      <c r="O27" s="76"/>
    </row>
    <row r="28" spans="1:15" ht="15" customHeight="1" x14ac:dyDescent="0.75">
      <c r="A28" s="72" t="s">
        <v>283</v>
      </c>
      <c r="B28" s="73"/>
      <c r="C28" s="377" t="s">
        <v>451</v>
      </c>
      <c r="D28" s="210"/>
      <c r="E28" s="210"/>
      <c r="F28" s="210"/>
      <c r="G28" s="210"/>
      <c r="H28" s="210"/>
      <c r="I28" s="210"/>
      <c r="J28" s="210"/>
      <c r="K28" s="210"/>
      <c r="L28" s="210"/>
      <c r="M28" s="210"/>
      <c r="N28" s="210"/>
      <c r="O28" s="211"/>
    </row>
    <row r="29" spans="1:15" ht="14.25" customHeight="1" x14ac:dyDescent="0.75">
      <c r="A29" s="381" t="s">
        <v>334</v>
      </c>
      <c r="B29" s="211"/>
      <c r="C29" s="373" t="s">
        <v>452</v>
      </c>
      <c r="D29" s="210"/>
      <c r="E29" s="210"/>
      <c r="F29" s="210"/>
      <c r="G29" s="210"/>
      <c r="H29" s="210"/>
      <c r="I29" s="210"/>
      <c r="J29" s="210"/>
      <c r="K29" s="210"/>
      <c r="L29" s="210"/>
      <c r="M29" s="210"/>
      <c r="N29" s="210"/>
      <c r="O29" s="211"/>
    </row>
    <row r="30" spans="1:15" ht="15" customHeight="1" x14ac:dyDescent="0.75">
      <c r="A30" s="371" t="s">
        <v>258</v>
      </c>
      <c r="B30" s="211"/>
      <c r="C30" s="376" t="s">
        <v>428</v>
      </c>
      <c r="D30" s="210"/>
      <c r="E30" s="210"/>
      <c r="F30" s="210"/>
      <c r="G30" s="210"/>
      <c r="H30" s="210"/>
      <c r="I30" s="210"/>
      <c r="J30" s="210"/>
      <c r="K30" s="210"/>
      <c r="L30" s="210"/>
      <c r="M30" s="210"/>
      <c r="N30" s="210"/>
      <c r="O30" s="211"/>
    </row>
    <row r="31" spans="1:15" ht="14.25" customHeight="1" x14ac:dyDescent="0.75">
      <c r="A31" s="378" t="s">
        <v>259</v>
      </c>
      <c r="B31" s="211"/>
      <c r="C31" s="384" t="s">
        <v>453</v>
      </c>
      <c r="D31" s="210"/>
      <c r="E31" s="210"/>
      <c r="F31" s="210"/>
      <c r="G31" s="210"/>
      <c r="H31" s="210"/>
      <c r="I31" s="210"/>
      <c r="J31" s="210"/>
      <c r="K31" s="210"/>
      <c r="L31" s="210"/>
      <c r="M31" s="210"/>
      <c r="N31" s="210"/>
      <c r="O31" s="211"/>
    </row>
    <row r="32" spans="1:15" ht="15" customHeight="1" x14ac:dyDescent="0.75">
      <c r="A32" s="72" t="s">
        <v>261</v>
      </c>
      <c r="B32" s="73"/>
      <c r="C32" s="376" t="s">
        <v>101</v>
      </c>
      <c r="D32" s="210"/>
      <c r="E32" s="210"/>
      <c r="F32" s="210"/>
      <c r="G32" s="210"/>
      <c r="H32" s="210"/>
      <c r="I32" s="210"/>
      <c r="J32" s="210"/>
      <c r="K32" s="210"/>
      <c r="L32" s="210"/>
      <c r="M32" s="210"/>
      <c r="N32" s="210"/>
      <c r="O32" s="211"/>
    </row>
    <row r="33" spans="1:15" ht="39" customHeight="1" x14ac:dyDescent="0.75">
      <c r="A33" s="381" t="s">
        <v>314</v>
      </c>
      <c r="B33" s="211"/>
      <c r="C33" s="271" t="s">
        <v>454</v>
      </c>
      <c r="D33" s="210"/>
      <c r="E33" s="210"/>
      <c r="F33" s="210"/>
      <c r="G33" s="210"/>
      <c r="H33" s="210"/>
      <c r="I33" s="210"/>
      <c r="J33" s="210"/>
      <c r="K33" s="210"/>
      <c r="L33" s="210"/>
      <c r="M33" s="210"/>
      <c r="N33" s="210"/>
      <c r="O33" s="211"/>
    </row>
  </sheetData>
  <mergeCells count="61">
    <mergeCell ref="A1:O1"/>
    <mergeCell ref="J18:K18"/>
    <mergeCell ref="C21:O21"/>
    <mergeCell ref="H14:I14"/>
    <mergeCell ref="A31:B31"/>
    <mergeCell ref="J17:K17"/>
    <mergeCell ref="H12:O12"/>
    <mergeCell ref="C22:O22"/>
    <mergeCell ref="A29:B29"/>
    <mergeCell ref="C31:O31"/>
    <mergeCell ref="C3:C4"/>
    <mergeCell ref="H15:I15"/>
    <mergeCell ref="H18:I18"/>
    <mergeCell ref="H2:J2"/>
    <mergeCell ref="M16:O16"/>
    <mergeCell ref="I3:I4"/>
    <mergeCell ref="C33:O33"/>
    <mergeCell ref="A11:G11"/>
    <mergeCell ref="C24:O24"/>
    <mergeCell ref="H17:I17"/>
    <mergeCell ref="M14:O14"/>
    <mergeCell ref="A12:B12"/>
    <mergeCell ref="A21:B21"/>
    <mergeCell ref="M19:O19"/>
    <mergeCell ref="H16:I16"/>
    <mergeCell ref="H11:O11"/>
    <mergeCell ref="A33:B33"/>
    <mergeCell ref="J16:K16"/>
    <mergeCell ref="C20:O20"/>
    <mergeCell ref="H19:I19"/>
    <mergeCell ref="C29:O29"/>
    <mergeCell ref="A23:B23"/>
    <mergeCell ref="J3:J4"/>
    <mergeCell ref="C32:O32"/>
    <mergeCell ref="A10:G10"/>
    <mergeCell ref="M15:O15"/>
    <mergeCell ref="C28:O28"/>
    <mergeCell ref="A13:G19"/>
    <mergeCell ref="M18:O18"/>
    <mergeCell ref="J15:K15"/>
    <mergeCell ref="M17:O17"/>
    <mergeCell ref="C30:O30"/>
    <mergeCell ref="H13:O13"/>
    <mergeCell ref="A22:B22"/>
    <mergeCell ref="A20:B20"/>
    <mergeCell ref="J5:J9"/>
    <mergeCell ref="C2:G2"/>
    <mergeCell ref="K2:O2"/>
    <mergeCell ref="H3:H4"/>
    <mergeCell ref="A30:B30"/>
    <mergeCell ref="D3:G3"/>
    <mergeCell ref="I5:I9"/>
    <mergeCell ref="D12:G12"/>
    <mergeCell ref="C23:O23"/>
    <mergeCell ref="A3:A9"/>
    <mergeCell ref="J14:K14"/>
    <mergeCell ref="B3:B4"/>
    <mergeCell ref="K3:O9"/>
    <mergeCell ref="J19:K19"/>
    <mergeCell ref="H10:O10"/>
    <mergeCell ref="H5:H9"/>
  </mergeCells>
  <pageMargins left="0.70833333333333304" right="0.70833333333333304" top="0.74791666666666701" bottom="0.74791666666666701" header="0.511811023622047" footer="0.511811023622047"/>
  <pageSetup paperSize="9" scale="75" orientation="landscape"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opLeftCell="A15" zoomScaleNormal="100" workbookViewId="0">
      <selection activeCell="B3" sqref="B3:B4"/>
    </sheetView>
  </sheetViews>
  <sheetFormatPr baseColWidth="10" defaultColWidth="11.453125" defaultRowHeight="14.75" x14ac:dyDescent="0.75"/>
  <cols>
    <col min="1" max="1" width="11.453125" style="153"/>
    <col min="2" max="2" width="25.76953125" style="153" customWidth="1"/>
    <col min="3" max="3" width="11.453125" style="153"/>
    <col min="4" max="4" width="5.453125" style="153" customWidth="1"/>
    <col min="5" max="7" width="6" style="153" customWidth="1"/>
    <col min="8" max="8" width="12.453125" style="153" customWidth="1"/>
    <col min="9" max="9" width="17.76953125" style="153" customWidth="1"/>
    <col min="10" max="10" width="13.453125" style="153" customWidth="1"/>
    <col min="11" max="11" width="1.453125" style="153" customWidth="1"/>
    <col min="12" max="16384" width="11.453125" style="153"/>
  </cols>
  <sheetData>
    <row r="1" spans="1:15" ht="18" customHeight="1" x14ac:dyDescent="0.75">
      <c r="A1" s="393" t="s">
        <v>213</v>
      </c>
      <c r="B1" s="330"/>
      <c r="C1" s="330"/>
      <c r="D1" s="330"/>
      <c r="E1" s="330"/>
      <c r="F1" s="330"/>
      <c r="G1" s="330"/>
      <c r="H1" s="330"/>
      <c r="I1" s="330"/>
      <c r="J1" s="330"/>
      <c r="K1" s="330"/>
      <c r="L1" s="330"/>
      <c r="M1" s="330"/>
      <c r="N1" s="330"/>
      <c r="O1" s="330"/>
    </row>
    <row r="2" spans="1:15" ht="39" customHeight="1" x14ac:dyDescent="0.75">
      <c r="A2" s="154" t="s">
        <v>214</v>
      </c>
      <c r="B2" s="154" t="s">
        <v>215</v>
      </c>
      <c r="C2" s="340" t="s">
        <v>216</v>
      </c>
      <c r="D2" s="319"/>
      <c r="E2" s="319"/>
      <c r="F2" s="319"/>
      <c r="G2" s="320"/>
      <c r="H2" s="344" t="s">
        <v>414</v>
      </c>
      <c r="I2" s="319"/>
      <c r="J2" s="320"/>
      <c r="K2" s="340" t="s">
        <v>415</v>
      </c>
      <c r="L2" s="319"/>
      <c r="M2" s="319"/>
      <c r="N2" s="319"/>
      <c r="O2" s="320"/>
    </row>
    <row r="3" spans="1:15" ht="14.25" customHeight="1" x14ac:dyDescent="0.75">
      <c r="A3" s="353" t="s">
        <v>102</v>
      </c>
      <c r="B3" s="322"/>
      <c r="C3" s="338" t="s">
        <v>219</v>
      </c>
      <c r="D3" s="322" t="s">
        <v>220</v>
      </c>
      <c r="E3" s="319"/>
      <c r="F3" s="319"/>
      <c r="G3" s="320"/>
      <c r="H3" s="338" t="s">
        <v>38</v>
      </c>
      <c r="I3" s="338" t="s">
        <v>221</v>
      </c>
      <c r="J3" s="338" t="s">
        <v>222</v>
      </c>
      <c r="K3" s="388" t="s">
        <v>455</v>
      </c>
      <c r="L3" s="327"/>
      <c r="M3" s="327"/>
      <c r="N3" s="327"/>
      <c r="O3" s="328"/>
    </row>
    <row r="4" spans="1:15" x14ac:dyDescent="0.75">
      <c r="A4" s="324"/>
      <c r="B4" s="325"/>
      <c r="C4" s="325"/>
      <c r="D4" s="155">
        <v>2024</v>
      </c>
      <c r="E4" s="155">
        <v>2025</v>
      </c>
      <c r="F4" s="155">
        <v>2026</v>
      </c>
      <c r="G4" s="155">
        <v>2027</v>
      </c>
      <c r="H4" s="325"/>
      <c r="I4" s="325"/>
      <c r="J4" s="325"/>
      <c r="K4" s="329"/>
      <c r="L4" s="330"/>
      <c r="M4" s="330"/>
      <c r="N4" s="330"/>
      <c r="O4" s="331"/>
    </row>
    <row r="5" spans="1:15" ht="14.25" customHeight="1" x14ac:dyDescent="0.75">
      <c r="A5" s="324"/>
      <c r="B5" s="156" t="s">
        <v>224</v>
      </c>
      <c r="C5" s="157"/>
      <c r="D5" s="157"/>
      <c r="E5" s="157"/>
      <c r="F5" s="157"/>
      <c r="G5" s="157"/>
      <c r="H5" s="341" t="s">
        <v>428</v>
      </c>
      <c r="I5" s="387" t="s">
        <v>456</v>
      </c>
      <c r="J5" s="323" t="s">
        <v>46</v>
      </c>
      <c r="K5" s="329"/>
      <c r="L5" s="330"/>
      <c r="M5" s="330"/>
      <c r="N5" s="330"/>
      <c r="O5" s="331"/>
    </row>
    <row r="6" spans="1:15" ht="15" customHeight="1" x14ac:dyDescent="0.75">
      <c r="A6" s="324"/>
      <c r="B6" s="156" t="s">
        <v>227</v>
      </c>
      <c r="C6" s="157"/>
      <c r="D6" s="157"/>
      <c r="E6" s="157"/>
      <c r="F6" s="157"/>
      <c r="G6" s="157"/>
      <c r="H6" s="324"/>
      <c r="I6" s="324"/>
      <c r="J6" s="324"/>
      <c r="K6" s="329"/>
      <c r="L6" s="330"/>
      <c r="M6" s="330"/>
      <c r="N6" s="330"/>
      <c r="O6" s="331"/>
    </row>
    <row r="7" spans="1:15" ht="15" customHeight="1" x14ac:dyDescent="0.75">
      <c r="A7" s="324"/>
      <c r="B7" s="156" t="s">
        <v>228</v>
      </c>
      <c r="C7" s="158"/>
      <c r="D7" s="158"/>
      <c r="E7" s="158"/>
      <c r="F7" s="158"/>
      <c r="G7" s="158"/>
      <c r="H7" s="324"/>
      <c r="I7" s="324"/>
      <c r="J7" s="324"/>
      <c r="K7" s="329"/>
      <c r="L7" s="330"/>
      <c r="M7" s="330"/>
      <c r="N7" s="330"/>
      <c r="O7" s="331"/>
    </row>
    <row r="8" spans="1:15" ht="15" customHeight="1" x14ac:dyDescent="0.75">
      <c r="A8" s="324"/>
      <c r="B8" s="156" t="s">
        <v>229</v>
      </c>
      <c r="C8" s="158"/>
      <c r="D8" s="158"/>
      <c r="E8" s="158"/>
      <c r="F8" s="158"/>
      <c r="G8" s="158"/>
      <c r="H8" s="324"/>
      <c r="I8" s="324"/>
      <c r="J8" s="324"/>
      <c r="K8" s="329"/>
      <c r="L8" s="330"/>
      <c r="M8" s="330"/>
      <c r="N8" s="330"/>
      <c r="O8" s="331"/>
    </row>
    <row r="9" spans="1:15" ht="15" customHeight="1" x14ac:dyDescent="0.75">
      <c r="A9" s="325"/>
      <c r="B9" s="159" t="s">
        <v>230</v>
      </c>
      <c r="C9" s="160"/>
      <c r="D9" s="160"/>
      <c r="E9" s="160"/>
      <c r="F9" s="160">
        <v>17</v>
      </c>
      <c r="G9" s="160">
        <v>17</v>
      </c>
      <c r="H9" s="325"/>
      <c r="I9" s="325"/>
      <c r="J9" s="325"/>
      <c r="K9" s="332"/>
      <c r="L9" s="333"/>
      <c r="M9" s="333"/>
      <c r="N9" s="333"/>
      <c r="O9" s="334"/>
    </row>
    <row r="10" spans="1:15" s="161" customFormat="1" ht="15.75" customHeight="1" x14ac:dyDescent="0.75">
      <c r="A10" s="318" t="s">
        <v>12</v>
      </c>
      <c r="B10" s="319"/>
      <c r="C10" s="319"/>
      <c r="D10" s="319"/>
      <c r="E10" s="319"/>
      <c r="F10" s="319"/>
      <c r="G10" s="320"/>
      <c r="H10" s="364" t="s">
        <v>17</v>
      </c>
      <c r="I10" s="319"/>
      <c r="J10" s="319"/>
      <c r="K10" s="319"/>
      <c r="L10" s="319"/>
      <c r="M10" s="319"/>
      <c r="N10" s="319"/>
      <c r="O10" s="320"/>
    </row>
    <row r="11" spans="1:15" s="161" customFormat="1" ht="15.75" customHeight="1" x14ac:dyDescent="0.75">
      <c r="A11" s="363" t="s">
        <v>14</v>
      </c>
      <c r="B11" s="319"/>
      <c r="C11" s="319"/>
      <c r="D11" s="319"/>
      <c r="E11" s="319"/>
      <c r="F11" s="319"/>
      <c r="G11" s="320"/>
      <c r="H11" s="364" t="s">
        <v>15</v>
      </c>
      <c r="I11" s="319"/>
      <c r="J11" s="319"/>
      <c r="K11" s="319"/>
      <c r="L11" s="319"/>
      <c r="M11" s="319"/>
      <c r="N11" s="319"/>
      <c r="O11" s="320"/>
    </row>
    <row r="12" spans="1:15" s="161" customFormat="1" ht="14.25" customHeight="1" x14ac:dyDescent="0.75">
      <c r="A12" s="364" t="s">
        <v>416</v>
      </c>
      <c r="B12" s="320"/>
      <c r="C12" s="162"/>
      <c r="D12" s="353" t="str">
        <f>A3</f>
        <v>IR2.1.2</v>
      </c>
      <c r="E12" s="319"/>
      <c r="F12" s="319"/>
      <c r="G12" s="320"/>
      <c r="H12" s="367" t="s">
        <v>457</v>
      </c>
      <c r="I12" s="319"/>
      <c r="J12" s="319"/>
      <c r="K12" s="319"/>
      <c r="L12" s="319"/>
      <c r="M12" s="319"/>
      <c r="N12" s="319"/>
      <c r="O12" s="320"/>
    </row>
    <row r="13" spans="1:15" ht="14.25" customHeight="1" x14ac:dyDescent="0.75">
      <c r="A13" s="390" t="s">
        <v>458</v>
      </c>
      <c r="B13" s="327"/>
      <c r="C13" s="327"/>
      <c r="D13" s="327"/>
      <c r="E13" s="327"/>
      <c r="F13" s="327"/>
      <c r="G13" s="328"/>
      <c r="H13" s="322" t="s">
        <v>235</v>
      </c>
      <c r="I13" s="319"/>
      <c r="J13" s="319"/>
      <c r="K13" s="319"/>
      <c r="L13" s="319"/>
      <c r="M13" s="319"/>
      <c r="N13" s="319"/>
      <c r="O13" s="320"/>
    </row>
    <row r="14" spans="1:15" ht="15" customHeight="1" x14ac:dyDescent="0.75">
      <c r="A14" s="329"/>
      <c r="B14" s="330"/>
      <c r="C14" s="330"/>
      <c r="D14" s="330"/>
      <c r="E14" s="330"/>
      <c r="F14" s="330"/>
      <c r="G14" s="331"/>
      <c r="H14" s="322" t="s">
        <v>236</v>
      </c>
      <c r="I14" s="320"/>
      <c r="J14" s="322" t="s">
        <v>237</v>
      </c>
      <c r="K14" s="320"/>
      <c r="L14" s="155" t="s">
        <v>238</v>
      </c>
      <c r="M14" s="322" t="s">
        <v>272</v>
      </c>
      <c r="N14" s="319"/>
      <c r="O14" s="320"/>
    </row>
    <row r="15" spans="1:15" ht="15.75" customHeight="1" x14ac:dyDescent="0.75">
      <c r="A15" s="329"/>
      <c r="B15" s="330"/>
      <c r="C15" s="330"/>
      <c r="D15" s="330"/>
      <c r="E15" s="330"/>
      <c r="F15" s="330"/>
      <c r="G15" s="331"/>
      <c r="H15" s="322" t="s">
        <v>240</v>
      </c>
      <c r="I15" s="320"/>
      <c r="J15" s="323"/>
      <c r="K15" s="320"/>
      <c r="L15" s="163" t="str">
        <f>IFERROR(M15/J15,"")</f>
        <v/>
      </c>
      <c r="M15" s="335">
        <f>C9</f>
        <v>0</v>
      </c>
      <c r="N15" s="319"/>
      <c r="O15" s="320"/>
    </row>
    <row r="16" spans="1:15" ht="15.75" customHeight="1" x14ac:dyDescent="0.75">
      <c r="A16" s="329"/>
      <c r="B16" s="330"/>
      <c r="C16" s="330"/>
      <c r="D16" s="330"/>
      <c r="E16" s="330"/>
      <c r="F16" s="330"/>
      <c r="G16" s="331"/>
      <c r="H16" s="322">
        <v>2024</v>
      </c>
      <c r="I16" s="320"/>
      <c r="J16" s="353"/>
      <c r="K16" s="320"/>
      <c r="L16" s="163" t="str">
        <f>IFERROR(M16/J16,"")</f>
        <v/>
      </c>
      <c r="M16" s="353">
        <f>D9</f>
        <v>0</v>
      </c>
      <c r="N16" s="319"/>
      <c r="O16" s="320"/>
    </row>
    <row r="17" spans="1:15" ht="15.75" customHeight="1" x14ac:dyDescent="0.75">
      <c r="A17" s="329"/>
      <c r="B17" s="330"/>
      <c r="C17" s="330"/>
      <c r="D17" s="330"/>
      <c r="E17" s="330"/>
      <c r="F17" s="330"/>
      <c r="G17" s="331"/>
      <c r="H17" s="322">
        <v>2025</v>
      </c>
      <c r="I17" s="320"/>
      <c r="J17" s="353"/>
      <c r="K17" s="320"/>
      <c r="L17" s="163" t="str">
        <f>IFERROR(M17/J17,"")</f>
        <v/>
      </c>
      <c r="M17" s="353">
        <f>E9</f>
        <v>0</v>
      </c>
      <c r="N17" s="319"/>
      <c r="O17" s="320"/>
    </row>
    <row r="18" spans="1:15" ht="15.75" customHeight="1" x14ac:dyDescent="0.75">
      <c r="A18" s="329"/>
      <c r="B18" s="330"/>
      <c r="C18" s="330"/>
      <c r="D18" s="330"/>
      <c r="E18" s="330"/>
      <c r="F18" s="330"/>
      <c r="G18" s="331"/>
      <c r="H18" s="322">
        <v>2026</v>
      </c>
      <c r="I18" s="320"/>
      <c r="J18" s="353"/>
      <c r="K18" s="320"/>
      <c r="L18" s="163" t="str">
        <f>IFERROR(M18/J18,"")</f>
        <v/>
      </c>
      <c r="M18" s="353">
        <f>F9</f>
        <v>17</v>
      </c>
      <c r="N18" s="319"/>
      <c r="O18" s="320"/>
    </row>
    <row r="19" spans="1:15" ht="15.75" customHeight="1" x14ac:dyDescent="0.75">
      <c r="A19" s="332"/>
      <c r="B19" s="333"/>
      <c r="C19" s="333"/>
      <c r="D19" s="333"/>
      <c r="E19" s="333"/>
      <c r="F19" s="333"/>
      <c r="G19" s="334"/>
      <c r="H19" s="322">
        <v>2027</v>
      </c>
      <c r="I19" s="320"/>
      <c r="J19" s="353"/>
      <c r="K19" s="320"/>
      <c r="L19" s="163" t="str">
        <f>IFERROR(M19/J19,"")</f>
        <v/>
      </c>
      <c r="M19" s="353">
        <f>G9</f>
        <v>17</v>
      </c>
      <c r="N19" s="319"/>
      <c r="O19" s="320"/>
    </row>
    <row r="20" spans="1:15" ht="14.25" customHeight="1" x14ac:dyDescent="0.75">
      <c r="A20" s="391" t="s">
        <v>241</v>
      </c>
      <c r="B20" s="320"/>
      <c r="C20" s="354" t="s">
        <v>445</v>
      </c>
      <c r="D20" s="319"/>
      <c r="E20" s="319"/>
      <c r="F20" s="319"/>
      <c r="G20" s="319"/>
      <c r="H20" s="319"/>
      <c r="I20" s="319"/>
      <c r="J20" s="319"/>
      <c r="K20" s="319"/>
      <c r="L20" s="319"/>
      <c r="M20" s="319"/>
      <c r="N20" s="319"/>
      <c r="O20" s="320"/>
    </row>
    <row r="21" spans="1:15" ht="14.25" customHeight="1" x14ac:dyDescent="0.75">
      <c r="A21" s="391" t="s">
        <v>242</v>
      </c>
      <c r="B21" s="320"/>
      <c r="C21" s="354" t="s">
        <v>17</v>
      </c>
      <c r="D21" s="319"/>
      <c r="E21" s="319"/>
      <c r="F21" s="319"/>
      <c r="G21" s="319"/>
      <c r="H21" s="319"/>
      <c r="I21" s="319"/>
      <c r="J21" s="319"/>
      <c r="K21" s="319"/>
      <c r="L21" s="319"/>
      <c r="M21" s="319"/>
      <c r="N21" s="319"/>
      <c r="O21" s="320"/>
    </row>
    <row r="22" spans="1:15" ht="14.25" customHeight="1" x14ac:dyDescent="0.75">
      <c r="A22" s="391" t="s">
        <v>243</v>
      </c>
      <c r="B22" s="320"/>
      <c r="C22" s="354" t="s">
        <v>459</v>
      </c>
      <c r="D22" s="319"/>
      <c r="E22" s="319"/>
      <c r="F22" s="319"/>
      <c r="G22" s="319"/>
      <c r="H22" s="319"/>
      <c r="I22" s="319"/>
      <c r="J22" s="319"/>
      <c r="K22" s="319"/>
      <c r="L22" s="319"/>
      <c r="M22" s="319"/>
      <c r="N22" s="319"/>
      <c r="O22" s="320"/>
    </row>
    <row r="23" spans="1:15" ht="14.25" customHeight="1" x14ac:dyDescent="0.75">
      <c r="A23" s="391" t="s">
        <v>276</v>
      </c>
      <c r="B23" s="320"/>
      <c r="C23" s="354" t="s">
        <v>460</v>
      </c>
      <c r="D23" s="319"/>
      <c r="E23" s="319"/>
      <c r="F23" s="319"/>
      <c r="G23" s="319"/>
      <c r="H23" s="319"/>
      <c r="I23" s="319"/>
      <c r="J23" s="319"/>
      <c r="K23" s="319"/>
      <c r="L23" s="319"/>
      <c r="M23" s="319"/>
      <c r="N23" s="319"/>
      <c r="O23" s="320"/>
    </row>
    <row r="24" spans="1:15" ht="15" customHeight="1" x14ac:dyDescent="0.75">
      <c r="A24" s="164" t="s">
        <v>278</v>
      </c>
      <c r="B24" s="165"/>
      <c r="C24" s="358" t="s">
        <v>448</v>
      </c>
      <c r="D24" s="319"/>
      <c r="E24" s="319"/>
      <c r="F24" s="319"/>
      <c r="G24" s="319"/>
      <c r="H24" s="319"/>
      <c r="I24" s="319"/>
      <c r="J24" s="319"/>
      <c r="K24" s="319"/>
      <c r="L24" s="319"/>
      <c r="M24" s="319"/>
      <c r="N24" s="319"/>
      <c r="O24" s="320"/>
    </row>
    <row r="25" spans="1:15" ht="15" customHeight="1" x14ac:dyDescent="0.75">
      <c r="A25" s="164" t="s">
        <v>461</v>
      </c>
      <c r="B25" s="165"/>
      <c r="C25" s="166" t="s">
        <v>563</v>
      </c>
      <c r="D25" s="167"/>
      <c r="E25" s="167"/>
      <c r="F25" s="167"/>
      <c r="G25" s="167"/>
      <c r="H25" s="167"/>
      <c r="I25" s="167"/>
      <c r="J25" s="167"/>
      <c r="K25" s="167"/>
      <c r="L25" s="167"/>
      <c r="M25" s="167"/>
      <c r="N25" s="167"/>
      <c r="O25" s="168"/>
    </row>
    <row r="26" spans="1:15" ht="15" customHeight="1" x14ac:dyDescent="0.75">
      <c r="A26" s="164" t="s">
        <v>251</v>
      </c>
      <c r="B26" s="165"/>
      <c r="C26" s="169" t="s">
        <v>462</v>
      </c>
      <c r="D26" s="167"/>
      <c r="E26" s="167"/>
      <c r="F26" s="167"/>
      <c r="G26" s="167"/>
      <c r="H26" s="167"/>
      <c r="I26" s="167"/>
      <c r="J26" s="167"/>
      <c r="K26" s="167"/>
      <c r="L26" s="167"/>
      <c r="M26" s="167"/>
      <c r="N26" s="167"/>
      <c r="O26" s="168"/>
    </row>
    <row r="27" spans="1:15" ht="15" customHeight="1" x14ac:dyDescent="0.75">
      <c r="A27" s="164" t="s">
        <v>253</v>
      </c>
      <c r="B27" s="165"/>
      <c r="C27" s="169" t="s">
        <v>101</v>
      </c>
      <c r="D27" s="170"/>
      <c r="E27" s="167"/>
      <c r="F27" s="167"/>
      <c r="G27" s="167"/>
      <c r="H27" s="167"/>
      <c r="I27" s="167"/>
      <c r="J27" s="167"/>
      <c r="K27" s="167"/>
      <c r="L27" s="167"/>
      <c r="M27" s="167"/>
      <c r="N27" s="167"/>
      <c r="O27" s="168"/>
    </row>
    <row r="28" spans="1:15" ht="15" customHeight="1" x14ac:dyDescent="0.75">
      <c r="A28" s="164" t="s">
        <v>310</v>
      </c>
      <c r="B28" s="165"/>
      <c r="C28" s="389" t="s">
        <v>463</v>
      </c>
      <c r="D28" s="319"/>
      <c r="E28" s="319"/>
      <c r="F28" s="319"/>
      <c r="G28" s="319"/>
      <c r="H28" s="319"/>
      <c r="I28" s="319"/>
      <c r="J28" s="319"/>
      <c r="K28" s="319"/>
      <c r="L28" s="319"/>
      <c r="M28" s="319"/>
      <c r="N28" s="319"/>
      <c r="O28" s="320"/>
    </row>
    <row r="29" spans="1:15" ht="14.25" customHeight="1" x14ac:dyDescent="0.75">
      <c r="A29" s="356" t="s">
        <v>334</v>
      </c>
      <c r="B29" s="320"/>
      <c r="C29" s="392" t="s">
        <v>464</v>
      </c>
      <c r="D29" s="319"/>
      <c r="E29" s="319"/>
      <c r="F29" s="319"/>
      <c r="G29" s="319"/>
      <c r="H29" s="319"/>
      <c r="I29" s="319"/>
      <c r="J29" s="319"/>
      <c r="K29" s="319"/>
      <c r="L29" s="319"/>
      <c r="M29" s="319"/>
      <c r="N29" s="319"/>
      <c r="O29" s="320"/>
    </row>
    <row r="30" spans="1:15" ht="15" customHeight="1" x14ac:dyDescent="0.75">
      <c r="A30" s="386" t="s">
        <v>258</v>
      </c>
      <c r="B30" s="320"/>
      <c r="C30" s="389" t="s">
        <v>428</v>
      </c>
      <c r="D30" s="319"/>
      <c r="E30" s="319"/>
      <c r="F30" s="319"/>
      <c r="G30" s="319"/>
      <c r="H30" s="319"/>
      <c r="I30" s="319"/>
      <c r="J30" s="319"/>
      <c r="K30" s="319"/>
      <c r="L30" s="319"/>
      <c r="M30" s="319"/>
      <c r="N30" s="319"/>
      <c r="O30" s="320"/>
    </row>
    <row r="31" spans="1:15" ht="14.25" customHeight="1" x14ac:dyDescent="0.75">
      <c r="A31" s="391" t="s">
        <v>259</v>
      </c>
      <c r="B31" s="320"/>
      <c r="C31" s="394" t="s">
        <v>465</v>
      </c>
      <c r="D31" s="319"/>
      <c r="E31" s="319"/>
      <c r="F31" s="319"/>
      <c r="G31" s="319"/>
      <c r="H31" s="319"/>
      <c r="I31" s="319"/>
      <c r="J31" s="319"/>
      <c r="K31" s="319"/>
      <c r="L31" s="319"/>
      <c r="M31" s="319"/>
      <c r="N31" s="319"/>
      <c r="O31" s="320"/>
    </row>
    <row r="32" spans="1:15" ht="15" customHeight="1" x14ac:dyDescent="0.75">
      <c r="A32" s="164" t="s">
        <v>261</v>
      </c>
      <c r="B32" s="165"/>
      <c r="C32" s="389" t="s">
        <v>438</v>
      </c>
      <c r="D32" s="319"/>
      <c r="E32" s="319"/>
      <c r="F32" s="319"/>
      <c r="G32" s="319"/>
      <c r="H32" s="319"/>
      <c r="I32" s="319"/>
      <c r="J32" s="319"/>
      <c r="K32" s="319"/>
      <c r="L32" s="319"/>
      <c r="M32" s="319"/>
      <c r="N32" s="319"/>
      <c r="O32" s="320"/>
    </row>
    <row r="33" spans="1:15" ht="39" customHeight="1" x14ac:dyDescent="0.75">
      <c r="A33" s="356" t="s">
        <v>314</v>
      </c>
      <c r="B33" s="320"/>
      <c r="C33" s="339" t="s">
        <v>454</v>
      </c>
      <c r="D33" s="319"/>
      <c r="E33" s="319"/>
      <c r="F33" s="319"/>
      <c r="G33" s="319"/>
      <c r="H33" s="319"/>
      <c r="I33" s="319"/>
      <c r="J33" s="319"/>
      <c r="K33" s="319"/>
      <c r="L33" s="319"/>
      <c r="M33" s="319"/>
      <c r="N33" s="319"/>
      <c r="O33" s="320"/>
    </row>
  </sheetData>
  <mergeCells count="61">
    <mergeCell ref="A1:O1"/>
    <mergeCell ref="J18:K18"/>
    <mergeCell ref="C21:O21"/>
    <mergeCell ref="H14:I14"/>
    <mergeCell ref="A31:B31"/>
    <mergeCell ref="J17:K17"/>
    <mergeCell ref="H12:O12"/>
    <mergeCell ref="C22:O22"/>
    <mergeCell ref="A29:B29"/>
    <mergeCell ref="C31:O31"/>
    <mergeCell ref="C3:C4"/>
    <mergeCell ref="H15:I15"/>
    <mergeCell ref="H18:I18"/>
    <mergeCell ref="H2:J2"/>
    <mergeCell ref="M16:O16"/>
    <mergeCell ref="I3:I4"/>
    <mergeCell ref="C33:O33"/>
    <mergeCell ref="A11:G11"/>
    <mergeCell ref="C24:O24"/>
    <mergeCell ref="H17:I17"/>
    <mergeCell ref="M14:O14"/>
    <mergeCell ref="A12:B12"/>
    <mergeCell ref="A21:B21"/>
    <mergeCell ref="M19:O19"/>
    <mergeCell ref="H16:I16"/>
    <mergeCell ref="H11:O11"/>
    <mergeCell ref="A33:B33"/>
    <mergeCell ref="J16:K16"/>
    <mergeCell ref="C20:O20"/>
    <mergeCell ref="H19:I19"/>
    <mergeCell ref="C29:O29"/>
    <mergeCell ref="A23:B23"/>
    <mergeCell ref="J3:J4"/>
    <mergeCell ref="C32:O32"/>
    <mergeCell ref="A10:G10"/>
    <mergeCell ref="M15:O15"/>
    <mergeCell ref="C28:O28"/>
    <mergeCell ref="A13:G19"/>
    <mergeCell ref="M18:O18"/>
    <mergeCell ref="J15:K15"/>
    <mergeCell ref="M17:O17"/>
    <mergeCell ref="C30:O30"/>
    <mergeCell ref="H13:O13"/>
    <mergeCell ref="A22:B22"/>
    <mergeCell ref="A20:B20"/>
    <mergeCell ref="J5:J9"/>
    <mergeCell ref="C2:G2"/>
    <mergeCell ref="K2:O2"/>
    <mergeCell ref="H3:H4"/>
    <mergeCell ref="A30:B30"/>
    <mergeCell ref="D3:G3"/>
    <mergeCell ref="I5:I9"/>
    <mergeCell ref="D12:G12"/>
    <mergeCell ref="C23:O23"/>
    <mergeCell ref="A3:A9"/>
    <mergeCell ref="J14:K14"/>
    <mergeCell ref="B3:B4"/>
    <mergeCell ref="K3:O9"/>
    <mergeCell ref="J19:K19"/>
    <mergeCell ref="H10:O10"/>
    <mergeCell ref="H5:H9"/>
  </mergeCells>
  <pageMargins left="0.70833333333333304" right="0.70833333333333304" top="0.74791666666666701" bottom="0.74791666666666701" header="0.511811023622047" footer="0.511811023622047"/>
  <pageSetup paperSize="9" scale="80" orientation="landscape"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
  <sheetViews>
    <sheetView zoomScale="80" zoomScaleNormal="80" workbookViewId="0">
      <selection activeCell="H3" sqref="H3:H4"/>
    </sheetView>
  </sheetViews>
  <sheetFormatPr baseColWidth="10" defaultColWidth="11.453125" defaultRowHeight="14.75" x14ac:dyDescent="0.75"/>
  <cols>
    <col min="1" max="1" width="33" style="124" customWidth="1"/>
    <col min="2" max="2" width="15.2265625" style="124" customWidth="1"/>
    <col min="4" max="7" width="5.453125" style="124" customWidth="1"/>
    <col min="8" max="8" width="12.953125" style="124" customWidth="1"/>
    <col min="9" max="9" width="13.2265625" style="124" customWidth="1"/>
    <col min="10" max="10" width="12.76953125" style="124" customWidth="1"/>
    <col min="15" max="15" width="18.453125" style="124" customWidth="1"/>
  </cols>
  <sheetData>
    <row r="1" spans="1:15" ht="18.75" customHeight="1" x14ac:dyDescent="0.75">
      <c r="A1" s="370" t="s">
        <v>213</v>
      </c>
      <c r="B1" s="207"/>
      <c r="C1" s="207"/>
      <c r="D1" s="207"/>
      <c r="E1" s="207"/>
      <c r="F1" s="207"/>
      <c r="G1" s="207"/>
      <c r="H1" s="207"/>
      <c r="I1" s="207"/>
      <c r="J1" s="207"/>
      <c r="K1" s="207"/>
      <c r="L1" s="207"/>
      <c r="M1" s="207"/>
      <c r="N1" s="207"/>
      <c r="O1" s="207"/>
    </row>
    <row r="2" spans="1:15" ht="30.75" customHeight="1" x14ac:dyDescent="0.75">
      <c r="A2" s="63" t="s">
        <v>214</v>
      </c>
      <c r="B2" s="64" t="s">
        <v>215</v>
      </c>
      <c r="C2" s="297" t="s">
        <v>216</v>
      </c>
      <c r="D2" s="298"/>
      <c r="E2" s="298"/>
      <c r="F2" s="298"/>
      <c r="G2" s="299"/>
      <c r="H2" s="302" t="s">
        <v>217</v>
      </c>
      <c r="I2" s="298"/>
      <c r="J2" s="299"/>
      <c r="K2" s="297" t="s">
        <v>218</v>
      </c>
      <c r="L2" s="298"/>
      <c r="M2" s="298"/>
      <c r="N2" s="298"/>
      <c r="O2" s="299"/>
    </row>
    <row r="3" spans="1:15" ht="14.25" customHeight="1" x14ac:dyDescent="0.75">
      <c r="A3" s="240" t="s">
        <v>104</v>
      </c>
      <c r="B3" s="240"/>
      <c r="C3" s="254" t="s">
        <v>219</v>
      </c>
      <c r="D3" s="240" t="s">
        <v>220</v>
      </c>
      <c r="E3" s="210"/>
      <c r="F3" s="210"/>
      <c r="G3" s="211"/>
      <c r="H3" s="254" t="s">
        <v>38</v>
      </c>
      <c r="I3" s="254" t="s">
        <v>221</v>
      </c>
      <c r="J3" s="254" t="s">
        <v>222</v>
      </c>
      <c r="K3" s="250" t="s">
        <v>466</v>
      </c>
      <c r="L3" s="242"/>
      <c r="M3" s="242"/>
      <c r="N3" s="242"/>
      <c r="O3" s="243"/>
    </row>
    <row r="4" spans="1:15" ht="36" customHeight="1" x14ac:dyDescent="0.75">
      <c r="A4" s="224"/>
      <c r="B4" s="213"/>
      <c r="C4" s="213"/>
      <c r="D4" s="129">
        <v>2024</v>
      </c>
      <c r="E4" s="129">
        <v>2025</v>
      </c>
      <c r="F4" s="129">
        <v>2026</v>
      </c>
      <c r="G4" s="129">
        <v>2027</v>
      </c>
      <c r="H4" s="213"/>
      <c r="I4" s="213"/>
      <c r="J4" s="213"/>
      <c r="K4" s="244"/>
      <c r="L4" s="207"/>
      <c r="M4" s="207"/>
      <c r="N4" s="207"/>
      <c r="O4" s="245"/>
    </row>
    <row r="5" spans="1:15" ht="15" customHeight="1" x14ac:dyDescent="0.75">
      <c r="A5" s="224"/>
      <c r="B5" s="130" t="s">
        <v>224</v>
      </c>
      <c r="C5" s="57"/>
      <c r="D5" s="57"/>
      <c r="E5" s="57"/>
      <c r="F5" s="57"/>
      <c r="G5" s="57"/>
      <c r="H5" s="262" t="s">
        <v>428</v>
      </c>
      <c r="I5" s="241" t="s">
        <v>99</v>
      </c>
      <c r="J5" s="241" t="s">
        <v>46</v>
      </c>
      <c r="K5" s="244"/>
      <c r="L5" s="207"/>
      <c r="M5" s="207"/>
      <c r="N5" s="207"/>
      <c r="O5" s="245"/>
    </row>
    <row r="6" spans="1:15" ht="15" customHeight="1" x14ac:dyDescent="0.75">
      <c r="A6" s="224"/>
      <c r="B6" s="130" t="s">
        <v>227</v>
      </c>
      <c r="C6" s="57"/>
      <c r="D6" s="57"/>
      <c r="E6" s="57"/>
      <c r="F6" s="57"/>
      <c r="G6" s="57"/>
      <c r="H6" s="224"/>
      <c r="I6" s="224"/>
      <c r="J6" s="224"/>
      <c r="K6" s="244"/>
      <c r="L6" s="207"/>
      <c r="M6" s="207"/>
      <c r="N6" s="207"/>
      <c r="O6" s="245"/>
    </row>
    <row r="7" spans="1:15" ht="15" customHeight="1" x14ac:dyDescent="0.75">
      <c r="A7" s="224"/>
      <c r="B7" s="130" t="s">
        <v>228</v>
      </c>
      <c r="C7" s="58"/>
      <c r="D7" s="58"/>
      <c r="E7" s="58"/>
      <c r="F7" s="58"/>
      <c r="G7" s="58"/>
      <c r="H7" s="224"/>
      <c r="I7" s="224"/>
      <c r="J7" s="224"/>
      <c r="K7" s="244"/>
      <c r="L7" s="207"/>
      <c r="M7" s="207"/>
      <c r="N7" s="207"/>
      <c r="O7" s="245"/>
    </row>
    <row r="8" spans="1:15" ht="15" customHeight="1" x14ac:dyDescent="0.75">
      <c r="A8" s="224"/>
      <c r="B8" s="130" t="s">
        <v>229</v>
      </c>
      <c r="C8" s="58"/>
      <c r="D8" s="58"/>
      <c r="E8" s="58"/>
      <c r="F8" s="58"/>
      <c r="G8" s="58"/>
      <c r="H8" s="224"/>
      <c r="I8" s="224"/>
      <c r="J8" s="224"/>
      <c r="K8" s="244"/>
      <c r="L8" s="207"/>
      <c r="M8" s="207"/>
      <c r="N8" s="207"/>
      <c r="O8" s="245"/>
    </row>
    <row r="9" spans="1:15" ht="15" customHeight="1" x14ac:dyDescent="0.75">
      <c r="A9" s="213"/>
      <c r="B9" s="59" t="s">
        <v>230</v>
      </c>
      <c r="C9" s="60"/>
      <c r="D9" s="60">
        <v>0</v>
      </c>
      <c r="E9" s="60">
        <v>2</v>
      </c>
      <c r="F9" s="60">
        <v>4</v>
      </c>
      <c r="G9" s="60">
        <v>4</v>
      </c>
      <c r="H9" s="213"/>
      <c r="I9" s="213"/>
      <c r="J9" s="213"/>
      <c r="K9" s="246"/>
      <c r="L9" s="216"/>
      <c r="M9" s="216"/>
      <c r="N9" s="216"/>
      <c r="O9" s="247"/>
    </row>
    <row r="10" spans="1:15" ht="15.75" customHeight="1" x14ac:dyDescent="0.75">
      <c r="A10" s="258" t="s">
        <v>231</v>
      </c>
      <c r="B10" s="210"/>
      <c r="C10" s="210"/>
      <c r="D10" s="210"/>
      <c r="E10" s="210"/>
      <c r="F10" s="210"/>
      <c r="G10" s="211"/>
      <c r="H10" s="250" t="s">
        <v>430</v>
      </c>
      <c r="I10" s="210"/>
      <c r="J10" s="210"/>
      <c r="K10" s="210"/>
      <c r="L10" s="210"/>
      <c r="M10" s="210"/>
      <c r="N10" s="210"/>
      <c r="O10" s="211"/>
    </row>
    <row r="11" spans="1:15" ht="15.75" customHeight="1" x14ac:dyDescent="0.75">
      <c r="A11" s="263" t="s">
        <v>232</v>
      </c>
      <c r="B11" s="210"/>
      <c r="C11" s="211"/>
      <c r="D11" s="240" t="s">
        <v>104</v>
      </c>
      <c r="E11" s="210"/>
      <c r="F11" s="210"/>
      <c r="G11" s="211"/>
      <c r="H11" s="253" t="s">
        <v>467</v>
      </c>
      <c r="I11" s="210"/>
      <c r="J11" s="210"/>
      <c r="K11" s="210"/>
      <c r="L11" s="210"/>
      <c r="M11" s="210"/>
      <c r="N11" s="210"/>
      <c r="O11" s="211"/>
    </row>
    <row r="12" spans="1:15" ht="14.25" customHeight="1" x14ac:dyDescent="0.75">
      <c r="A12" s="268" t="s">
        <v>468</v>
      </c>
      <c r="B12" s="242"/>
      <c r="C12" s="242"/>
      <c r="D12" s="242"/>
      <c r="E12" s="242"/>
      <c r="F12" s="242"/>
      <c r="G12" s="243"/>
      <c r="H12" s="240" t="s">
        <v>320</v>
      </c>
      <c r="I12" s="210"/>
      <c r="J12" s="210"/>
      <c r="K12" s="210"/>
      <c r="L12" s="210"/>
      <c r="M12" s="210"/>
      <c r="N12" s="210"/>
      <c r="O12" s="211"/>
    </row>
    <row r="13" spans="1:15" ht="15" customHeight="1" x14ac:dyDescent="0.75">
      <c r="A13" s="244"/>
      <c r="B13" s="207"/>
      <c r="C13" s="207"/>
      <c r="D13" s="207"/>
      <c r="E13" s="207"/>
      <c r="F13" s="207"/>
      <c r="G13" s="245"/>
      <c r="H13" s="240" t="s">
        <v>236</v>
      </c>
      <c r="I13" s="211"/>
      <c r="J13" s="240" t="s">
        <v>237</v>
      </c>
      <c r="K13" s="211"/>
      <c r="L13" s="129" t="s">
        <v>238</v>
      </c>
      <c r="M13" s="240" t="s">
        <v>272</v>
      </c>
      <c r="N13" s="210"/>
      <c r="O13" s="211"/>
    </row>
    <row r="14" spans="1:15" ht="15.75" customHeight="1" x14ac:dyDescent="0.75">
      <c r="A14" s="244"/>
      <c r="B14" s="207"/>
      <c r="C14" s="207"/>
      <c r="D14" s="207"/>
      <c r="E14" s="207"/>
      <c r="F14" s="207"/>
      <c r="G14" s="245"/>
      <c r="H14" s="252" t="s">
        <v>240</v>
      </c>
      <c r="I14" s="211"/>
      <c r="J14" s="241"/>
      <c r="K14" s="211"/>
      <c r="L14" s="53" t="str">
        <f>IFERROR(M14/J14,"")</f>
        <v/>
      </c>
      <c r="M14" s="252"/>
      <c r="N14" s="210"/>
      <c r="O14" s="211"/>
    </row>
    <row r="15" spans="1:15" ht="15.75" customHeight="1" x14ac:dyDescent="0.75">
      <c r="A15" s="244"/>
      <c r="B15" s="207"/>
      <c r="C15" s="207"/>
      <c r="D15" s="207"/>
      <c r="E15" s="207"/>
      <c r="F15" s="207"/>
      <c r="G15" s="245"/>
      <c r="H15" s="252">
        <v>2024</v>
      </c>
      <c r="I15" s="211"/>
      <c r="J15" s="252"/>
      <c r="K15" s="211"/>
      <c r="L15" s="53" t="str">
        <f>IFERROR(M15/J15,"")</f>
        <v/>
      </c>
      <c r="M15" s="252">
        <f>D9</f>
        <v>0</v>
      </c>
      <c r="N15" s="210"/>
      <c r="O15" s="211"/>
    </row>
    <row r="16" spans="1:15" ht="15.75" customHeight="1" x14ac:dyDescent="0.75">
      <c r="A16" s="244"/>
      <c r="B16" s="207"/>
      <c r="C16" s="207"/>
      <c r="D16" s="207"/>
      <c r="E16" s="207"/>
      <c r="F16" s="207"/>
      <c r="G16" s="245"/>
      <c r="H16" s="252">
        <v>2025</v>
      </c>
      <c r="I16" s="211"/>
      <c r="J16" s="252"/>
      <c r="K16" s="211"/>
      <c r="L16" s="53" t="str">
        <f>IFERROR(M16/J16,"")</f>
        <v/>
      </c>
      <c r="M16" s="252">
        <f>E9</f>
        <v>2</v>
      </c>
      <c r="N16" s="210"/>
      <c r="O16" s="211"/>
    </row>
    <row r="17" spans="1:15" ht="15.75" customHeight="1" x14ac:dyDescent="0.75">
      <c r="A17" s="244"/>
      <c r="B17" s="207"/>
      <c r="C17" s="207"/>
      <c r="D17" s="207"/>
      <c r="E17" s="207"/>
      <c r="F17" s="207"/>
      <c r="G17" s="245"/>
      <c r="H17" s="252">
        <v>2026</v>
      </c>
      <c r="I17" s="211"/>
      <c r="J17" s="252"/>
      <c r="K17" s="211"/>
      <c r="L17" s="53" t="str">
        <f>IFERROR(M17/J17,"")</f>
        <v/>
      </c>
      <c r="M17" s="252">
        <f>F9</f>
        <v>4</v>
      </c>
      <c r="N17" s="210"/>
      <c r="O17" s="211"/>
    </row>
    <row r="18" spans="1:15" ht="15.75" customHeight="1" x14ac:dyDescent="0.75">
      <c r="A18" s="246"/>
      <c r="B18" s="216"/>
      <c r="C18" s="216"/>
      <c r="D18" s="216"/>
      <c r="E18" s="216"/>
      <c r="F18" s="216"/>
      <c r="G18" s="247"/>
      <c r="H18" s="252">
        <v>2027</v>
      </c>
      <c r="I18" s="211"/>
      <c r="J18" s="252"/>
      <c r="K18" s="211"/>
      <c r="L18" s="53" t="str">
        <f>IFERROR(M18/J18,"")</f>
        <v/>
      </c>
      <c r="M18" s="252">
        <f>G9</f>
        <v>4</v>
      </c>
      <c r="N18" s="210"/>
      <c r="O18" s="211"/>
    </row>
    <row r="19" spans="1:15" ht="14.25" customHeight="1" x14ac:dyDescent="0.75">
      <c r="A19" s="54" t="s">
        <v>302</v>
      </c>
      <c r="B19" s="256" t="s">
        <v>273</v>
      </c>
      <c r="C19" s="210"/>
      <c r="D19" s="210"/>
      <c r="E19" s="210"/>
      <c r="F19" s="210"/>
      <c r="G19" s="210"/>
      <c r="H19" s="210"/>
      <c r="I19" s="210"/>
      <c r="J19" s="210"/>
      <c r="K19" s="210"/>
      <c r="L19" s="210"/>
      <c r="M19" s="210"/>
      <c r="N19" s="210"/>
      <c r="O19" s="211"/>
    </row>
    <row r="20" spans="1:15" ht="14.25" customHeight="1" x14ac:dyDescent="0.75">
      <c r="A20" s="54" t="s">
        <v>242</v>
      </c>
      <c r="B20" s="256" t="s">
        <v>434</v>
      </c>
      <c r="C20" s="210"/>
      <c r="D20" s="210"/>
      <c r="E20" s="210"/>
      <c r="F20" s="210"/>
      <c r="G20" s="210"/>
      <c r="H20" s="210"/>
      <c r="I20" s="210"/>
      <c r="J20" s="210"/>
      <c r="K20" s="210"/>
      <c r="L20" s="210"/>
      <c r="M20" s="210"/>
      <c r="N20" s="210"/>
      <c r="O20" s="211"/>
    </row>
    <row r="21" spans="1:15" ht="14.25" customHeight="1" x14ac:dyDescent="0.75">
      <c r="A21" s="54" t="s">
        <v>243</v>
      </c>
      <c r="B21" s="256" t="s">
        <v>469</v>
      </c>
      <c r="C21" s="210"/>
      <c r="D21" s="210"/>
      <c r="E21" s="210"/>
      <c r="F21" s="210"/>
      <c r="G21" s="210"/>
      <c r="H21" s="210"/>
      <c r="I21" s="210"/>
      <c r="J21" s="210"/>
      <c r="K21" s="210"/>
      <c r="L21" s="210"/>
      <c r="M21" s="210"/>
      <c r="N21" s="210"/>
      <c r="O21" s="211"/>
    </row>
    <row r="22" spans="1:15" ht="14.25" customHeight="1" x14ac:dyDescent="0.75">
      <c r="A22" s="54" t="s">
        <v>276</v>
      </c>
      <c r="B22" s="256" t="s">
        <v>466</v>
      </c>
      <c r="C22" s="210"/>
      <c r="D22" s="210"/>
      <c r="E22" s="210"/>
      <c r="F22" s="210"/>
      <c r="G22" s="210"/>
      <c r="H22" s="210"/>
      <c r="I22" s="210"/>
      <c r="J22" s="210"/>
      <c r="K22" s="210"/>
      <c r="L22" s="210"/>
      <c r="M22" s="210"/>
      <c r="N22" s="210"/>
      <c r="O22" s="211"/>
    </row>
    <row r="23" spans="1:15" ht="15" customHeight="1" x14ac:dyDescent="0.75">
      <c r="A23" s="62" t="s">
        <v>278</v>
      </c>
      <c r="B23" s="267" t="s">
        <v>282</v>
      </c>
      <c r="C23" s="210"/>
      <c r="D23" s="210"/>
      <c r="E23" s="210"/>
      <c r="F23" s="210"/>
      <c r="G23" s="210"/>
      <c r="H23" s="210"/>
      <c r="I23" s="210"/>
      <c r="J23" s="210"/>
      <c r="K23" s="210"/>
      <c r="L23" s="210"/>
      <c r="M23" s="210"/>
      <c r="N23" s="210"/>
      <c r="O23" s="211"/>
    </row>
    <row r="24" spans="1:15" ht="15" customHeight="1" x14ac:dyDescent="0.75">
      <c r="A24" s="62" t="s">
        <v>306</v>
      </c>
      <c r="B24" s="267" t="s">
        <v>280</v>
      </c>
      <c r="C24" s="210"/>
      <c r="D24" s="210"/>
      <c r="E24" s="210"/>
      <c r="F24" s="210"/>
      <c r="G24" s="210"/>
      <c r="H24" s="210"/>
      <c r="I24" s="210"/>
      <c r="J24" s="210"/>
      <c r="K24" s="210"/>
      <c r="L24" s="210"/>
      <c r="M24" s="210"/>
      <c r="N24" s="210"/>
      <c r="O24" s="211"/>
    </row>
    <row r="25" spans="1:15" ht="15" customHeight="1" x14ac:dyDescent="0.75">
      <c r="A25" s="62" t="s">
        <v>251</v>
      </c>
      <c r="B25" s="267" t="s">
        <v>230</v>
      </c>
      <c r="C25" s="210"/>
      <c r="D25" s="210"/>
      <c r="E25" s="210"/>
      <c r="F25" s="210"/>
      <c r="G25" s="210"/>
      <c r="H25" s="210"/>
      <c r="I25" s="210"/>
      <c r="J25" s="210"/>
      <c r="K25" s="210"/>
      <c r="L25" s="210"/>
      <c r="M25" s="210"/>
      <c r="N25" s="210"/>
      <c r="O25" s="211"/>
    </row>
    <row r="26" spans="1:15" ht="15" customHeight="1" x14ac:dyDescent="0.75">
      <c r="A26" s="62" t="s">
        <v>253</v>
      </c>
      <c r="B26" s="267" t="s">
        <v>282</v>
      </c>
      <c r="C26" s="210"/>
      <c r="D26" s="210"/>
      <c r="E26" s="210"/>
      <c r="F26" s="210"/>
      <c r="G26" s="210"/>
      <c r="H26" s="210"/>
      <c r="I26" s="210"/>
      <c r="J26" s="210"/>
      <c r="K26" s="210"/>
      <c r="L26" s="210"/>
      <c r="M26" s="210"/>
      <c r="N26" s="210"/>
      <c r="O26" s="211"/>
    </row>
    <row r="27" spans="1:15" ht="15" customHeight="1" x14ac:dyDescent="0.75">
      <c r="A27" s="62" t="s">
        <v>283</v>
      </c>
      <c r="B27" s="259" t="s">
        <v>470</v>
      </c>
      <c r="C27" s="210"/>
      <c r="D27" s="210"/>
      <c r="E27" s="210"/>
      <c r="F27" s="210"/>
      <c r="G27" s="210"/>
      <c r="H27" s="210"/>
      <c r="I27" s="210"/>
      <c r="J27" s="210"/>
      <c r="K27" s="210"/>
      <c r="L27" s="210"/>
      <c r="M27" s="210"/>
      <c r="N27" s="210"/>
      <c r="O27" s="211"/>
    </row>
    <row r="28" spans="1:15" ht="14.25" customHeight="1" x14ac:dyDescent="0.75">
      <c r="A28" s="54" t="s">
        <v>257</v>
      </c>
      <c r="B28" s="256" t="s">
        <v>471</v>
      </c>
      <c r="C28" s="210"/>
      <c r="D28" s="210"/>
      <c r="E28" s="210"/>
      <c r="F28" s="210"/>
      <c r="G28" s="210"/>
      <c r="H28" s="210"/>
      <c r="I28" s="210"/>
      <c r="J28" s="210"/>
      <c r="K28" s="210"/>
      <c r="L28" s="210"/>
      <c r="M28" s="210"/>
      <c r="N28" s="210"/>
      <c r="O28" s="211"/>
    </row>
    <row r="29" spans="1:15" ht="15" customHeight="1" x14ac:dyDescent="0.75">
      <c r="A29" s="62" t="s">
        <v>258</v>
      </c>
      <c r="B29" s="259" t="s">
        <v>428</v>
      </c>
      <c r="C29" s="210"/>
      <c r="D29" s="210"/>
      <c r="E29" s="210"/>
      <c r="F29" s="210"/>
      <c r="G29" s="210"/>
      <c r="H29" s="210"/>
      <c r="I29" s="210"/>
      <c r="J29" s="210"/>
      <c r="K29" s="210"/>
      <c r="L29" s="210"/>
      <c r="M29" s="210"/>
      <c r="N29" s="210"/>
      <c r="O29" s="211"/>
    </row>
    <row r="30" spans="1:15" ht="14.25" customHeight="1" x14ac:dyDescent="0.75">
      <c r="A30" s="54" t="s">
        <v>259</v>
      </c>
      <c r="B30" s="256" t="s">
        <v>260</v>
      </c>
      <c r="C30" s="210"/>
      <c r="D30" s="210"/>
      <c r="E30" s="210"/>
      <c r="F30" s="210"/>
      <c r="G30" s="210"/>
      <c r="H30" s="210"/>
      <c r="I30" s="210"/>
      <c r="J30" s="210"/>
      <c r="K30" s="210"/>
      <c r="L30" s="210"/>
      <c r="M30" s="210"/>
      <c r="N30" s="210"/>
      <c r="O30" s="211"/>
    </row>
    <row r="31" spans="1:15" ht="15" customHeight="1" x14ac:dyDescent="0.75">
      <c r="A31" s="62" t="s">
        <v>261</v>
      </c>
      <c r="B31" s="259" t="s">
        <v>438</v>
      </c>
      <c r="C31" s="210"/>
      <c r="D31" s="210"/>
      <c r="E31" s="210"/>
      <c r="F31" s="210"/>
      <c r="G31" s="210"/>
      <c r="H31" s="210"/>
      <c r="I31" s="210"/>
      <c r="J31" s="210"/>
      <c r="K31" s="210"/>
      <c r="L31" s="210"/>
      <c r="M31" s="210"/>
      <c r="N31" s="210"/>
      <c r="O31" s="211"/>
    </row>
    <row r="32" spans="1:15" ht="39" customHeight="1" x14ac:dyDescent="0.75">
      <c r="A32" s="54" t="s">
        <v>314</v>
      </c>
      <c r="B32" s="271" t="s">
        <v>454</v>
      </c>
      <c r="C32" s="210"/>
      <c r="D32" s="210"/>
      <c r="E32" s="210"/>
      <c r="F32" s="210"/>
      <c r="G32" s="210"/>
      <c r="H32" s="210"/>
      <c r="I32" s="210"/>
      <c r="J32" s="210"/>
      <c r="K32" s="210"/>
      <c r="L32" s="210"/>
      <c r="M32" s="210"/>
      <c r="N32" s="210"/>
      <c r="O32" s="211"/>
    </row>
  </sheetData>
  <mergeCells count="54">
    <mergeCell ref="B32:O32"/>
    <mergeCell ref="J17:K17"/>
    <mergeCell ref="B30:O30"/>
    <mergeCell ref="B24:O24"/>
    <mergeCell ref="H18:I18"/>
    <mergeCell ref="B29:O29"/>
    <mergeCell ref="B28:O28"/>
    <mergeCell ref="B26:O26"/>
    <mergeCell ref="B25:O25"/>
    <mergeCell ref="A1:O1"/>
    <mergeCell ref="J18:K18"/>
    <mergeCell ref="B20:O20"/>
    <mergeCell ref="H14:I14"/>
    <mergeCell ref="C2:G2"/>
    <mergeCell ref="K2:O2"/>
    <mergeCell ref="H3:H4"/>
    <mergeCell ref="H5:H9"/>
    <mergeCell ref="J3:J4"/>
    <mergeCell ref="B19:O19"/>
    <mergeCell ref="D11:G11"/>
    <mergeCell ref="H13:I13"/>
    <mergeCell ref="H12:O12"/>
    <mergeCell ref="A11:C11"/>
    <mergeCell ref="C3:C4"/>
    <mergeCell ref="H2:J2"/>
    <mergeCell ref="B31:O31"/>
    <mergeCell ref="J13:K13"/>
    <mergeCell ref="B22:O22"/>
    <mergeCell ref="A10:G10"/>
    <mergeCell ref="M15:O15"/>
    <mergeCell ref="B27:O27"/>
    <mergeCell ref="B21:O21"/>
    <mergeCell ref="M18:O18"/>
    <mergeCell ref="J15:K15"/>
    <mergeCell ref="B23:O23"/>
    <mergeCell ref="H17:I17"/>
    <mergeCell ref="M14:O14"/>
    <mergeCell ref="D3:G3"/>
    <mergeCell ref="I5:I9"/>
    <mergeCell ref="M16:O16"/>
    <mergeCell ref="A3:A9"/>
    <mergeCell ref="B3:B4"/>
    <mergeCell ref="J14:K14"/>
    <mergeCell ref="K3:O9"/>
    <mergeCell ref="A12:G18"/>
    <mergeCell ref="M13:O13"/>
    <mergeCell ref="H10:O10"/>
    <mergeCell ref="J5:J9"/>
    <mergeCell ref="H16:I16"/>
    <mergeCell ref="H11:O11"/>
    <mergeCell ref="J16:K16"/>
    <mergeCell ref="H15:I15"/>
    <mergeCell ref="I3:I4"/>
    <mergeCell ref="M17:O17"/>
  </mergeCells>
  <pageMargins left="0.7" right="0.7" top="0.75" bottom="0.75" header="0.511811023622047" footer="0.511811023622047"/>
  <pageSetup paperSize="9" scale="45"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opLeftCell="A11" zoomScaleNormal="100" workbookViewId="0">
      <selection activeCell="L15" sqref="L15:L19"/>
    </sheetView>
  </sheetViews>
  <sheetFormatPr baseColWidth="10" defaultColWidth="11.453125" defaultRowHeight="14.75" x14ac:dyDescent="0.75"/>
  <cols>
    <col min="2" max="2" width="25.76953125" style="124" customWidth="1"/>
    <col min="4" max="4" width="7.2265625" style="124" customWidth="1"/>
    <col min="5" max="5" width="7.453125" style="124" customWidth="1"/>
    <col min="6" max="7" width="8.2265625" style="124" customWidth="1"/>
    <col min="8" max="8" width="12.453125" style="124" customWidth="1"/>
    <col min="10" max="10" width="13.76953125" style="124" customWidth="1"/>
    <col min="11" max="11" width="3" style="124" customWidth="1"/>
    <col min="15" max="15" width="4.453125" style="124"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9" customHeight="1" x14ac:dyDescent="0.75">
      <c r="A2" s="126" t="s">
        <v>214</v>
      </c>
      <c r="B2" s="126" t="s">
        <v>215</v>
      </c>
      <c r="C2" s="261" t="s">
        <v>216</v>
      </c>
      <c r="D2" s="210"/>
      <c r="E2" s="210"/>
      <c r="F2" s="210"/>
      <c r="G2" s="211"/>
      <c r="H2" s="264" t="s">
        <v>414</v>
      </c>
      <c r="I2" s="210"/>
      <c r="J2" s="211"/>
      <c r="K2" s="261" t="s">
        <v>415</v>
      </c>
      <c r="L2" s="210"/>
      <c r="M2" s="210"/>
      <c r="N2" s="210"/>
      <c r="O2" s="211"/>
    </row>
    <row r="3" spans="1:15" ht="14.25" customHeight="1" x14ac:dyDescent="0.75">
      <c r="A3" s="369" t="s">
        <v>107</v>
      </c>
      <c r="B3" s="240"/>
      <c r="C3" s="254" t="s">
        <v>219</v>
      </c>
      <c r="D3" s="240" t="s">
        <v>220</v>
      </c>
      <c r="E3" s="210"/>
      <c r="F3" s="210"/>
      <c r="G3" s="211"/>
      <c r="H3" s="254" t="s">
        <v>38</v>
      </c>
      <c r="I3" s="254" t="s">
        <v>221</v>
      </c>
      <c r="J3" s="254" t="s">
        <v>222</v>
      </c>
      <c r="K3" s="374" t="s">
        <v>472</v>
      </c>
      <c r="L3" s="242"/>
      <c r="M3" s="242"/>
      <c r="N3" s="242"/>
      <c r="O3" s="243"/>
    </row>
    <row r="4" spans="1:15" ht="62.2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81" t="s">
        <v>224</v>
      </c>
      <c r="C5" s="66"/>
      <c r="D5" s="66"/>
      <c r="E5" s="66"/>
      <c r="F5" s="66"/>
      <c r="G5" s="66"/>
      <c r="H5" s="262" t="s">
        <v>428</v>
      </c>
      <c r="I5" s="241"/>
      <c r="J5" s="241" t="s">
        <v>46</v>
      </c>
      <c r="K5" s="244"/>
      <c r="L5" s="207"/>
      <c r="M5" s="207"/>
      <c r="N5" s="207"/>
      <c r="O5" s="245"/>
    </row>
    <row r="6" spans="1:15" ht="15" customHeight="1" x14ac:dyDescent="0.75">
      <c r="A6" s="224"/>
      <c r="B6" s="81" t="s">
        <v>227</v>
      </c>
      <c r="C6" s="66"/>
      <c r="D6" s="66"/>
      <c r="E6" s="66"/>
      <c r="F6" s="66"/>
      <c r="G6" s="66"/>
      <c r="H6" s="224"/>
      <c r="I6" s="224"/>
      <c r="J6" s="224"/>
      <c r="K6" s="244"/>
      <c r="L6" s="207"/>
      <c r="M6" s="207"/>
      <c r="N6" s="207"/>
      <c r="O6" s="245"/>
    </row>
    <row r="7" spans="1:15" ht="15" customHeight="1" x14ac:dyDescent="0.75">
      <c r="A7" s="224"/>
      <c r="B7" s="81" t="s">
        <v>228</v>
      </c>
      <c r="C7" s="68"/>
      <c r="D7" s="68"/>
      <c r="E7" s="68"/>
      <c r="F7" s="68"/>
      <c r="G7" s="68"/>
      <c r="H7" s="224"/>
      <c r="I7" s="224"/>
      <c r="J7" s="224"/>
      <c r="K7" s="244"/>
      <c r="L7" s="207"/>
      <c r="M7" s="207"/>
      <c r="N7" s="207"/>
      <c r="O7" s="245"/>
    </row>
    <row r="8" spans="1:15" ht="15" customHeight="1" x14ac:dyDescent="0.75">
      <c r="A8" s="224"/>
      <c r="B8" s="81" t="s">
        <v>229</v>
      </c>
      <c r="C8" s="68"/>
      <c r="D8" s="68"/>
      <c r="E8" s="68"/>
      <c r="F8" s="68"/>
      <c r="G8" s="68"/>
      <c r="H8" s="224"/>
      <c r="I8" s="224"/>
      <c r="J8" s="224"/>
      <c r="K8" s="244"/>
      <c r="L8" s="207"/>
      <c r="M8" s="207"/>
      <c r="N8" s="207"/>
      <c r="O8" s="245"/>
    </row>
    <row r="9" spans="1:15" ht="15" customHeight="1" x14ac:dyDescent="0.75">
      <c r="A9" s="213"/>
      <c r="B9" s="82" t="s">
        <v>230</v>
      </c>
      <c r="C9" s="69"/>
      <c r="D9" s="70"/>
      <c r="E9" s="70"/>
      <c r="F9" s="70">
        <v>300</v>
      </c>
      <c r="G9" s="70">
        <v>300</v>
      </c>
      <c r="H9" s="213"/>
      <c r="I9" s="213"/>
      <c r="J9" s="213"/>
      <c r="K9" s="246"/>
      <c r="L9" s="216"/>
      <c r="M9" s="216"/>
      <c r="N9" s="216"/>
      <c r="O9" s="247"/>
    </row>
    <row r="10" spans="1:15" s="3" customFormat="1" ht="24" customHeight="1" x14ac:dyDescent="0.75">
      <c r="A10" s="398" t="s">
        <v>12</v>
      </c>
      <c r="B10" s="210"/>
      <c r="C10" s="210"/>
      <c r="D10" s="210"/>
      <c r="E10" s="210"/>
      <c r="F10" s="210"/>
      <c r="G10" s="211"/>
      <c r="H10" s="395" t="s">
        <v>17</v>
      </c>
      <c r="I10" s="210"/>
      <c r="J10" s="210"/>
      <c r="K10" s="210"/>
      <c r="L10" s="210"/>
      <c r="M10" s="210"/>
      <c r="N10" s="210"/>
      <c r="O10" s="211"/>
    </row>
    <row r="11" spans="1:15" s="3" customFormat="1" ht="21" customHeight="1" x14ac:dyDescent="0.75">
      <c r="A11" s="397" t="s">
        <v>16</v>
      </c>
      <c r="B11" s="210"/>
      <c r="C11" s="210"/>
      <c r="D11" s="210"/>
      <c r="E11" s="210"/>
      <c r="F11" s="210"/>
      <c r="G11" s="211"/>
      <c r="H11" s="395" t="s">
        <v>109</v>
      </c>
      <c r="I11" s="210"/>
      <c r="J11" s="210"/>
      <c r="K11" s="210"/>
      <c r="L11" s="210"/>
      <c r="M11" s="210"/>
      <c r="N11" s="210"/>
      <c r="O11" s="211"/>
    </row>
    <row r="12" spans="1:15" s="3" customFormat="1" ht="14.25" customHeight="1" x14ac:dyDescent="0.75">
      <c r="A12" s="375" t="s">
        <v>416</v>
      </c>
      <c r="B12" s="211"/>
      <c r="C12" s="71"/>
      <c r="D12" s="372" t="str">
        <f>A3</f>
        <v>IR2.1.4</v>
      </c>
      <c r="E12" s="210"/>
      <c r="F12" s="210"/>
      <c r="G12" s="211"/>
      <c r="H12" s="382" t="s">
        <v>473</v>
      </c>
      <c r="I12" s="210"/>
      <c r="J12" s="210"/>
      <c r="K12" s="210"/>
      <c r="L12" s="210"/>
      <c r="M12" s="210"/>
      <c r="N12" s="210"/>
      <c r="O12" s="211"/>
    </row>
    <row r="13" spans="1:15" ht="14.25" customHeight="1" x14ac:dyDescent="0.75">
      <c r="A13" s="268" t="s">
        <v>474</v>
      </c>
      <c r="B13" s="242"/>
      <c r="C13" s="242"/>
      <c r="D13" s="242"/>
      <c r="E13" s="242"/>
      <c r="F13" s="242"/>
      <c r="G13" s="243"/>
      <c r="H13" s="240" t="s">
        <v>235</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t="s">
        <v>238</v>
      </c>
      <c r="M14" s="240" t="s">
        <v>272</v>
      </c>
      <c r="N14" s="210"/>
      <c r="O14" s="211"/>
    </row>
    <row r="15" spans="1:15" ht="15.75" customHeight="1" x14ac:dyDescent="0.75">
      <c r="A15" s="244"/>
      <c r="B15" s="207"/>
      <c r="C15" s="207"/>
      <c r="D15" s="207"/>
      <c r="E15" s="207"/>
      <c r="F15" s="207"/>
      <c r="G15" s="245"/>
      <c r="H15" s="240" t="s">
        <v>240</v>
      </c>
      <c r="I15" s="211"/>
      <c r="J15" s="241"/>
      <c r="K15" s="211"/>
      <c r="L15" s="53" t="str">
        <f>IFERROR(M15/J15,"")</f>
        <v/>
      </c>
      <c r="M15" s="252">
        <f>C9</f>
        <v>0</v>
      </c>
      <c r="N15" s="210"/>
      <c r="O15" s="211"/>
    </row>
    <row r="16" spans="1:15" ht="15.75" customHeight="1" x14ac:dyDescent="0.75">
      <c r="A16" s="244"/>
      <c r="B16" s="207"/>
      <c r="C16" s="207"/>
      <c r="D16" s="207"/>
      <c r="E16" s="207"/>
      <c r="F16" s="207"/>
      <c r="G16" s="245"/>
      <c r="H16" s="240">
        <v>2024</v>
      </c>
      <c r="I16" s="211"/>
      <c r="J16" s="372"/>
      <c r="K16" s="211"/>
      <c r="L16" s="53" t="str">
        <f>IFERROR(M16/J16,"")</f>
        <v/>
      </c>
      <c r="M16" s="396">
        <f>D9</f>
        <v>0</v>
      </c>
      <c r="N16" s="210"/>
      <c r="O16" s="211"/>
    </row>
    <row r="17" spans="1:15" ht="15.75" customHeight="1" x14ac:dyDescent="0.75">
      <c r="A17" s="244"/>
      <c r="B17" s="207"/>
      <c r="C17" s="207"/>
      <c r="D17" s="207"/>
      <c r="E17" s="207"/>
      <c r="F17" s="207"/>
      <c r="G17" s="245"/>
      <c r="H17" s="240">
        <v>2025</v>
      </c>
      <c r="I17" s="211"/>
      <c r="J17" s="372"/>
      <c r="K17" s="211"/>
      <c r="L17" s="53" t="str">
        <f>IFERROR(M17/J17,"")</f>
        <v/>
      </c>
      <c r="M17" s="396">
        <f>E9</f>
        <v>0</v>
      </c>
      <c r="N17" s="210"/>
      <c r="O17" s="211"/>
    </row>
    <row r="18" spans="1:15" ht="15.75" customHeight="1" x14ac:dyDescent="0.75">
      <c r="A18" s="244"/>
      <c r="B18" s="207"/>
      <c r="C18" s="207"/>
      <c r="D18" s="207"/>
      <c r="E18" s="207"/>
      <c r="F18" s="207"/>
      <c r="G18" s="245"/>
      <c r="H18" s="240">
        <v>2026</v>
      </c>
      <c r="I18" s="211"/>
      <c r="J18" s="372"/>
      <c r="K18" s="211"/>
      <c r="L18" s="53" t="str">
        <f>IFERROR(M18/J18,"")</f>
        <v/>
      </c>
      <c r="M18" s="396">
        <f>F9</f>
        <v>300</v>
      </c>
      <c r="N18" s="210"/>
      <c r="O18" s="211"/>
    </row>
    <row r="19" spans="1:15" ht="15.75" customHeight="1" x14ac:dyDescent="0.75">
      <c r="A19" s="246"/>
      <c r="B19" s="216"/>
      <c r="C19" s="216"/>
      <c r="D19" s="216"/>
      <c r="E19" s="216"/>
      <c r="F19" s="216"/>
      <c r="G19" s="247"/>
      <c r="H19" s="240">
        <v>2027</v>
      </c>
      <c r="I19" s="211"/>
      <c r="J19" s="372"/>
      <c r="K19" s="211"/>
      <c r="L19" s="53" t="str">
        <f>IFERROR(M19/J19,"")</f>
        <v/>
      </c>
      <c r="M19" s="396">
        <f>G9</f>
        <v>300</v>
      </c>
      <c r="N19" s="210"/>
      <c r="O19" s="211"/>
    </row>
    <row r="20" spans="1:15" ht="14.25" customHeight="1" x14ac:dyDescent="0.75">
      <c r="A20" s="378" t="s">
        <v>241</v>
      </c>
      <c r="B20" s="211"/>
      <c r="C20" s="373" t="s">
        <v>445</v>
      </c>
      <c r="D20" s="210"/>
      <c r="E20" s="210"/>
      <c r="F20" s="210"/>
      <c r="G20" s="210"/>
      <c r="H20" s="210"/>
      <c r="I20" s="210"/>
      <c r="J20" s="210"/>
      <c r="K20" s="210"/>
      <c r="L20" s="210"/>
      <c r="M20" s="210"/>
      <c r="N20" s="210"/>
      <c r="O20" s="211"/>
    </row>
    <row r="21" spans="1:15" ht="14.25" customHeight="1" x14ac:dyDescent="0.75">
      <c r="A21" s="378" t="s">
        <v>242</v>
      </c>
      <c r="B21" s="211"/>
      <c r="C21" s="373" t="s">
        <v>475</v>
      </c>
      <c r="D21" s="210"/>
      <c r="E21" s="210"/>
      <c r="F21" s="210"/>
      <c r="G21" s="210"/>
      <c r="H21" s="210"/>
      <c r="I21" s="210"/>
      <c r="J21" s="210"/>
      <c r="K21" s="210"/>
      <c r="L21" s="210"/>
      <c r="M21" s="210"/>
      <c r="N21" s="210"/>
      <c r="O21" s="211"/>
    </row>
    <row r="22" spans="1:15" ht="14.25" customHeight="1" x14ac:dyDescent="0.75">
      <c r="A22" s="378" t="s">
        <v>243</v>
      </c>
      <c r="B22" s="211"/>
      <c r="C22" s="373" t="s">
        <v>476</v>
      </c>
      <c r="D22" s="210"/>
      <c r="E22" s="210"/>
      <c r="F22" s="210"/>
      <c r="G22" s="210"/>
      <c r="H22" s="210"/>
      <c r="I22" s="210"/>
      <c r="J22" s="210"/>
      <c r="K22" s="210"/>
      <c r="L22" s="210"/>
      <c r="M22" s="210"/>
      <c r="N22" s="210"/>
      <c r="O22" s="211"/>
    </row>
    <row r="23" spans="1:15" ht="14.25" customHeight="1" x14ac:dyDescent="0.75">
      <c r="A23" s="378" t="s">
        <v>276</v>
      </c>
      <c r="B23" s="211"/>
      <c r="C23" s="373" t="s">
        <v>477</v>
      </c>
      <c r="D23" s="210"/>
      <c r="E23" s="210"/>
      <c r="F23" s="210"/>
      <c r="G23" s="210"/>
      <c r="H23" s="210"/>
      <c r="I23" s="210"/>
      <c r="J23" s="210"/>
      <c r="K23" s="210"/>
      <c r="L23" s="210"/>
      <c r="M23" s="210"/>
      <c r="N23" s="210"/>
      <c r="O23" s="211"/>
    </row>
    <row r="24" spans="1:15" ht="15" customHeight="1" x14ac:dyDescent="0.75">
      <c r="A24" s="72" t="s">
        <v>278</v>
      </c>
      <c r="B24" s="73"/>
      <c r="C24" s="380" t="s">
        <v>478</v>
      </c>
      <c r="D24" s="210"/>
      <c r="E24" s="210"/>
      <c r="F24" s="210"/>
      <c r="G24" s="210"/>
      <c r="H24" s="210"/>
      <c r="I24" s="210"/>
      <c r="J24" s="210"/>
      <c r="K24" s="210"/>
      <c r="L24" s="210"/>
      <c r="M24" s="210"/>
      <c r="N24" s="210"/>
      <c r="O24" s="211"/>
    </row>
    <row r="25" spans="1:15" ht="15" customHeight="1" x14ac:dyDescent="0.75">
      <c r="A25" s="72" t="s">
        <v>461</v>
      </c>
      <c r="B25" s="73"/>
      <c r="C25" s="74" t="s">
        <v>280</v>
      </c>
      <c r="D25" s="75"/>
      <c r="E25" s="75"/>
      <c r="F25" s="75"/>
      <c r="G25" s="75"/>
      <c r="H25" s="75"/>
      <c r="I25" s="75"/>
      <c r="J25" s="75"/>
      <c r="K25" s="75"/>
      <c r="L25" s="75"/>
      <c r="M25" s="75"/>
      <c r="N25" s="75"/>
      <c r="O25" s="76"/>
    </row>
    <row r="26" spans="1:15" ht="15" customHeight="1" x14ac:dyDescent="0.75">
      <c r="A26" s="72" t="s">
        <v>251</v>
      </c>
      <c r="B26" s="73"/>
      <c r="C26" s="74" t="s">
        <v>230</v>
      </c>
      <c r="D26" s="75"/>
      <c r="E26" s="75"/>
      <c r="F26" s="75"/>
      <c r="G26" s="75"/>
      <c r="H26" s="75"/>
      <c r="I26" s="75"/>
      <c r="J26" s="75"/>
      <c r="K26" s="75"/>
      <c r="L26" s="75"/>
      <c r="M26" s="75"/>
      <c r="N26" s="75"/>
      <c r="O26" s="76"/>
    </row>
    <row r="27" spans="1:15" ht="15" customHeight="1" x14ac:dyDescent="0.75">
      <c r="A27" s="72" t="s">
        <v>253</v>
      </c>
      <c r="B27" s="73"/>
      <c r="C27" s="74" t="s">
        <v>479</v>
      </c>
      <c r="D27" s="75"/>
      <c r="E27" s="75"/>
      <c r="F27" s="75"/>
      <c r="G27" s="75"/>
      <c r="H27" s="75"/>
      <c r="I27" s="75"/>
      <c r="J27" s="75"/>
      <c r="K27" s="75"/>
      <c r="L27" s="75"/>
      <c r="M27" s="75"/>
      <c r="N27" s="75"/>
      <c r="O27" s="76"/>
    </row>
    <row r="28" spans="1:15" ht="15" customHeight="1" x14ac:dyDescent="0.75">
      <c r="A28" s="72" t="s">
        <v>283</v>
      </c>
      <c r="B28" s="73"/>
      <c r="C28" s="376" t="s">
        <v>470</v>
      </c>
      <c r="D28" s="210"/>
      <c r="E28" s="210"/>
      <c r="F28" s="210"/>
      <c r="G28" s="210"/>
      <c r="H28" s="210"/>
      <c r="I28" s="210"/>
      <c r="J28" s="210"/>
      <c r="K28" s="210"/>
      <c r="L28" s="210"/>
      <c r="M28" s="210"/>
      <c r="N28" s="210"/>
      <c r="O28" s="211"/>
    </row>
    <row r="29" spans="1:15" ht="14.25" customHeight="1" x14ac:dyDescent="0.75">
      <c r="A29" s="381" t="s">
        <v>334</v>
      </c>
      <c r="B29" s="211"/>
      <c r="C29" s="373" t="s">
        <v>480</v>
      </c>
      <c r="D29" s="210"/>
      <c r="E29" s="210"/>
      <c r="F29" s="210"/>
      <c r="G29" s="210"/>
      <c r="H29" s="210"/>
      <c r="I29" s="210"/>
      <c r="J29" s="210"/>
      <c r="K29" s="210"/>
      <c r="L29" s="210"/>
      <c r="M29" s="210"/>
      <c r="N29" s="210"/>
      <c r="O29" s="211"/>
    </row>
    <row r="30" spans="1:15" ht="15" customHeight="1" x14ac:dyDescent="0.75">
      <c r="A30" s="371" t="s">
        <v>258</v>
      </c>
      <c r="B30" s="211"/>
      <c r="C30" s="376" t="s">
        <v>428</v>
      </c>
      <c r="D30" s="210"/>
      <c r="E30" s="210"/>
      <c r="F30" s="210"/>
      <c r="G30" s="210"/>
      <c r="H30" s="210"/>
      <c r="I30" s="210"/>
      <c r="J30" s="210"/>
      <c r="K30" s="210"/>
      <c r="L30" s="210"/>
      <c r="M30" s="210"/>
      <c r="N30" s="210"/>
      <c r="O30" s="211"/>
    </row>
    <row r="31" spans="1:15" ht="15" customHeight="1" x14ac:dyDescent="0.75">
      <c r="A31" s="77" t="s">
        <v>418</v>
      </c>
      <c r="B31" s="78"/>
      <c r="C31" s="74" t="s">
        <v>481</v>
      </c>
      <c r="D31" s="75"/>
      <c r="E31" s="75"/>
      <c r="F31" s="75"/>
      <c r="G31" s="75"/>
      <c r="H31" s="75"/>
      <c r="I31" s="75"/>
      <c r="J31" s="75"/>
      <c r="K31" s="75"/>
      <c r="L31" s="75"/>
      <c r="M31" s="75"/>
      <c r="N31" s="75"/>
      <c r="O31" s="76"/>
    </row>
    <row r="32" spans="1:15" ht="15" customHeight="1" x14ac:dyDescent="0.75">
      <c r="A32" s="72" t="s">
        <v>261</v>
      </c>
      <c r="B32" s="73"/>
      <c r="C32" s="376" t="s">
        <v>438</v>
      </c>
      <c r="D32" s="210"/>
      <c r="E32" s="210"/>
      <c r="F32" s="210"/>
      <c r="G32" s="210"/>
      <c r="H32" s="210"/>
      <c r="I32" s="210"/>
      <c r="J32" s="210"/>
      <c r="K32" s="210"/>
      <c r="L32" s="210"/>
      <c r="M32" s="210"/>
      <c r="N32" s="210"/>
      <c r="O32" s="211"/>
    </row>
    <row r="33" spans="1:15" ht="39" customHeight="1" x14ac:dyDescent="0.75">
      <c r="A33" s="381" t="s">
        <v>314</v>
      </c>
      <c r="B33" s="211"/>
      <c r="C33" s="271" t="s">
        <v>454</v>
      </c>
      <c r="D33" s="210"/>
      <c r="E33" s="210"/>
      <c r="F33" s="210"/>
      <c r="G33" s="210"/>
      <c r="H33" s="210"/>
      <c r="I33" s="210"/>
      <c r="J33" s="210"/>
      <c r="K33" s="210"/>
      <c r="L33" s="210"/>
      <c r="M33" s="210"/>
      <c r="N33" s="210"/>
      <c r="O33" s="211"/>
    </row>
  </sheetData>
  <mergeCells count="59">
    <mergeCell ref="A1:O1"/>
    <mergeCell ref="C21:O21"/>
    <mergeCell ref="H14:I14"/>
    <mergeCell ref="J17:K17"/>
    <mergeCell ref="K2:O2"/>
    <mergeCell ref="H19:I19"/>
    <mergeCell ref="J3:J4"/>
    <mergeCell ref="H12:O12"/>
    <mergeCell ref="C3:C4"/>
    <mergeCell ref="H2:J2"/>
    <mergeCell ref="A10:G10"/>
    <mergeCell ref="I3:I4"/>
    <mergeCell ref="C2:G2"/>
    <mergeCell ref="H5:H9"/>
    <mergeCell ref="H3:H4"/>
    <mergeCell ref="D3:G3"/>
    <mergeCell ref="C29:O29"/>
    <mergeCell ref="A23:B23"/>
    <mergeCell ref="H13:O13"/>
    <mergeCell ref="A22:B22"/>
    <mergeCell ref="A20:B20"/>
    <mergeCell ref="C22:O22"/>
    <mergeCell ref="A29:B29"/>
    <mergeCell ref="H15:I15"/>
    <mergeCell ref="H18:I18"/>
    <mergeCell ref="J18:K18"/>
    <mergeCell ref="C28:O28"/>
    <mergeCell ref="A13:G19"/>
    <mergeCell ref="M18:O18"/>
    <mergeCell ref="J15:K15"/>
    <mergeCell ref="C33:O33"/>
    <mergeCell ref="A11:G11"/>
    <mergeCell ref="C24:O24"/>
    <mergeCell ref="H17:I17"/>
    <mergeCell ref="M14:O14"/>
    <mergeCell ref="A12:B12"/>
    <mergeCell ref="A21:B21"/>
    <mergeCell ref="M19:O19"/>
    <mergeCell ref="H16:I16"/>
    <mergeCell ref="H11:O11"/>
    <mergeCell ref="A33:B33"/>
    <mergeCell ref="J16:K16"/>
    <mergeCell ref="C20:O20"/>
    <mergeCell ref="A30:B30"/>
    <mergeCell ref="C30:O30"/>
    <mergeCell ref="C32:O32"/>
    <mergeCell ref="I5:I9"/>
    <mergeCell ref="D12:G12"/>
    <mergeCell ref="C23:O23"/>
    <mergeCell ref="A3:A9"/>
    <mergeCell ref="J14:K14"/>
    <mergeCell ref="B3:B4"/>
    <mergeCell ref="K3:O9"/>
    <mergeCell ref="J19:K19"/>
    <mergeCell ref="H10:O10"/>
    <mergeCell ref="J5:J9"/>
    <mergeCell ref="M16:O16"/>
    <mergeCell ref="M17:O17"/>
    <mergeCell ref="M15:O15"/>
  </mergeCells>
  <pageMargins left="0.7" right="0.7" top="0.75" bottom="0.75" header="0.511811023622047" footer="0.511811023622047"/>
  <pageSetup paperSize="9" scale="50"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opLeftCell="A12" zoomScale="90" zoomScaleNormal="90" workbookViewId="0">
      <selection activeCell="C25" sqref="C25"/>
    </sheetView>
  </sheetViews>
  <sheetFormatPr baseColWidth="10" defaultColWidth="11.453125" defaultRowHeight="14.75" x14ac:dyDescent="0.75"/>
  <cols>
    <col min="2" max="2" width="25.76953125" style="124" customWidth="1"/>
    <col min="4" max="4" width="6.76953125" style="124" customWidth="1"/>
    <col min="5" max="7" width="6" style="124" customWidth="1"/>
    <col min="8" max="8" width="12.453125" style="124" customWidth="1"/>
    <col min="10" max="10" width="14.2265625" style="124" customWidth="1"/>
    <col min="11" max="11" width="2.76953125" style="124"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9" customHeight="1" x14ac:dyDescent="0.75">
      <c r="A2" s="126" t="s">
        <v>214</v>
      </c>
      <c r="B2" s="126" t="s">
        <v>215</v>
      </c>
      <c r="C2" s="261" t="s">
        <v>216</v>
      </c>
      <c r="D2" s="210"/>
      <c r="E2" s="210"/>
      <c r="F2" s="210"/>
      <c r="G2" s="211"/>
      <c r="H2" s="264" t="s">
        <v>414</v>
      </c>
      <c r="I2" s="210"/>
      <c r="J2" s="211"/>
      <c r="K2" s="261" t="s">
        <v>415</v>
      </c>
      <c r="L2" s="210"/>
      <c r="M2" s="210"/>
      <c r="N2" s="210"/>
      <c r="O2" s="211"/>
    </row>
    <row r="3" spans="1:15" ht="14.25" customHeight="1" x14ac:dyDescent="0.75">
      <c r="A3" s="372" t="s">
        <v>117</v>
      </c>
      <c r="B3" s="240"/>
      <c r="C3" s="254" t="s">
        <v>219</v>
      </c>
      <c r="D3" s="240" t="s">
        <v>220</v>
      </c>
      <c r="E3" s="210"/>
      <c r="F3" s="210"/>
      <c r="G3" s="211"/>
      <c r="H3" s="254" t="s">
        <v>38</v>
      </c>
      <c r="I3" s="254" t="s">
        <v>221</v>
      </c>
      <c r="J3" s="254" t="s">
        <v>222</v>
      </c>
      <c r="K3" s="374" t="s">
        <v>482</v>
      </c>
      <c r="L3" s="242"/>
      <c r="M3" s="242"/>
      <c r="N3" s="242"/>
      <c r="O3" s="243"/>
    </row>
    <row r="4" spans="1:15" ht="62.2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66"/>
      <c r="D5" s="66"/>
      <c r="E5" s="66"/>
      <c r="F5" s="66"/>
      <c r="G5" s="66"/>
      <c r="H5" s="262" t="s">
        <v>225</v>
      </c>
      <c r="I5" s="241" t="s">
        <v>483</v>
      </c>
      <c r="J5" s="241" t="s">
        <v>46</v>
      </c>
      <c r="K5" s="244"/>
      <c r="L5" s="207"/>
      <c r="M5" s="207"/>
      <c r="N5" s="207"/>
      <c r="O5" s="245"/>
    </row>
    <row r="6" spans="1:15" ht="15" customHeight="1" x14ac:dyDescent="0.75">
      <c r="A6" s="224"/>
      <c r="B6" s="130" t="s">
        <v>227</v>
      </c>
      <c r="C6" s="66"/>
      <c r="D6" s="67"/>
      <c r="E6" s="67"/>
      <c r="F6" s="67"/>
      <c r="G6" s="67"/>
      <c r="H6" s="224"/>
      <c r="I6" s="224"/>
      <c r="J6" s="224"/>
      <c r="K6" s="244"/>
      <c r="L6" s="207"/>
      <c r="M6" s="207"/>
      <c r="N6" s="207"/>
      <c r="O6" s="245"/>
    </row>
    <row r="7" spans="1:15" ht="15" customHeight="1" x14ac:dyDescent="0.75">
      <c r="A7" s="224"/>
      <c r="B7" s="130" t="s">
        <v>228</v>
      </c>
      <c r="C7" s="68"/>
      <c r="D7" s="68"/>
      <c r="E7" s="68"/>
      <c r="F7" s="68"/>
      <c r="G7" s="68"/>
      <c r="H7" s="224"/>
      <c r="I7" s="224"/>
      <c r="J7" s="224"/>
      <c r="K7" s="244"/>
      <c r="L7" s="207"/>
      <c r="M7" s="207"/>
      <c r="N7" s="207"/>
      <c r="O7" s="245"/>
    </row>
    <row r="8" spans="1:15" ht="15" customHeight="1" x14ac:dyDescent="0.75">
      <c r="A8" s="224"/>
      <c r="B8" s="130" t="s">
        <v>229</v>
      </c>
      <c r="C8" s="68"/>
      <c r="D8" s="68"/>
      <c r="E8" s="68"/>
      <c r="F8" s="68"/>
      <c r="G8" s="68"/>
      <c r="H8" s="224"/>
      <c r="I8" s="224"/>
      <c r="J8" s="224"/>
      <c r="K8" s="244"/>
      <c r="L8" s="207"/>
      <c r="M8" s="207"/>
      <c r="N8" s="207"/>
      <c r="O8" s="245"/>
    </row>
    <row r="9" spans="1:15" ht="15" customHeight="1" x14ac:dyDescent="0.75">
      <c r="A9" s="213"/>
      <c r="B9" s="51" t="s">
        <v>230</v>
      </c>
      <c r="C9" s="69"/>
      <c r="D9" s="69">
        <v>200</v>
      </c>
      <c r="E9" s="69">
        <v>400</v>
      </c>
      <c r="F9" s="69">
        <v>600</v>
      </c>
      <c r="G9" s="69">
        <v>600</v>
      </c>
      <c r="H9" s="213"/>
      <c r="I9" s="213"/>
      <c r="J9" s="213"/>
      <c r="K9" s="246"/>
      <c r="L9" s="216"/>
      <c r="M9" s="216"/>
      <c r="N9" s="216"/>
      <c r="O9" s="247"/>
    </row>
    <row r="10" spans="1:15" s="3" customFormat="1" ht="14.25" customHeight="1" x14ac:dyDescent="0.75">
      <c r="A10" s="258" t="s">
        <v>12</v>
      </c>
      <c r="B10" s="210"/>
      <c r="C10" s="210"/>
      <c r="D10" s="210"/>
      <c r="E10" s="210"/>
      <c r="F10" s="210"/>
      <c r="G10" s="211"/>
      <c r="H10" s="375" t="s">
        <v>17</v>
      </c>
      <c r="I10" s="210"/>
      <c r="J10" s="210"/>
      <c r="K10" s="210"/>
      <c r="L10" s="210"/>
      <c r="M10" s="210"/>
      <c r="N10" s="210"/>
      <c r="O10" s="211"/>
    </row>
    <row r="11" spans="1:15" s="3" customFormat="1" ht="15.75" customHeight="1" x14ac:dyDescent="0.75">
      <c r="A11" s="379" t="s">
        <v>16</v>
      </c>
      <c r="B11" s="210"/>
      <c r="C11" s="210"/>
      <c r="D11" s="210"/>
      <c r="E11" s="210"/>
      <c r="F11" s="210"/>
      <c r="G11" s="211"/>
      <c r="H11" s="395" t="s">
        <v>109</v>
      </c>
      <c r="I11" s="210"/>
      <c r="J11" s="210"/>
      <c r="K11" s="210"/>
      <c r="L11" s="210"/>
      <c r="M11" s="210"/>
      <c r="N11" s="210"/>
      <c r="O11" s="211"/>
    </row>
    <row r="12" spans="1:15" s="3" customFormat="1" ht="43.5" customHeight="1" x14ac:dyDescent="0.75">
      <c r="A12" s="375" t="s">
        <v>416</v>
      </c>
      <c r="B12" s="211"/>
      <c r="C12" s="71"/>
      <c r="D12" s="372" t="str">
        <f>A3</f>
        <v>IR2.2.2</v>
      </c>
      <c r="E12" s="210"/>
      <c r="F12" s="210"/>
      <c r="G12" s="211"/>
      <c r="H12" s="382" t="s">
        <v>118</v>
      </c>
      <c r="I12" s="210"/>
      <c r="J12" s="210"/>
      <c r="K12" s="210"/>
      <c r="L12" s="210"/>
      <c r="M12" s="210"/>
      <c r="N12" s="210"/>
      <c r="O12" s="211"/>
    </row>
    <row r="13" spans="1:15" ht="14.25" customHeight="1" x14ac:dyDescent="0.75">
      <c r="A13" s="268" t="s">
        <v>484</v>
      </c>
      <c r="B13" s="242"/>
      <c r="C13" s="242"/>
      <c r="D13" s="242"/>
      <c r="E13" s="242"/>
      <c r="F13" s="242"/>
      <c r="G13" s="243"/>
      <c r="H13" s="240" t="s">
        <v>235</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t="s">
        <v>238</v>
      </c>
      <c r="M14" s="240" t="s">
        <v>272</v>
      </c>
      <c r="N14" s="210"/>
      <c r="O14" s="211"/>
    </row>
    <row r="15" spans="1:15" ht="15.75" customHeight="1" x14ac:dyDescent="0.75">
      <c r="A15" s="244"/>
      <c r="B15" s="207"/>
      <c r="C15" s="207"/>
      <c r="D15" s="207"/>
      <c r="E15" s="207"/>
      <c r="F15" s="207"/>
      <c r="G15" s="245"/>
      <c r="H15" s="240" t="s">
        <v>240</v>
      </c>
      <c r="I15" s="211"/>
      <c r="J15" s="241"/>
      <c r="K15" s="211"/>
      <c r="L15" s="53" t="str">
        <f>IFERROR(M15/J15,"")</f>
        <v/>
      </c>
      <c r="M15" s="252">
        <f>C9</f>
        <v>0</v>
      </c>
      <c r="N15" s="210"/>
      <c r="O15" s="211"/>
    </row>
    <row r="16" spans="1:15" ht="15.75" customHeight="1" x14ac:dyDescent="0.75">
      <c r="A16" s="244"/>
      <c r="B16" s="207"/>
      <c r="C16" s="207"/>
      <c r="D16" s="207"/>
      <c r="E16" s="207"/>
      <c r="F16" s="207"/>
      <c r="G16" s="245"/>
      <c r="H16" s="240">
        <v>2024</v>
      </c>
      <c r="I16" s="211"/>
      <c r="J16" s="372"/>
      <c r="K16" s="211"/>
      <c r="L16" s="53" t="str">
        <f>IFERROR(M16/J16,"")</f>
        <v/>
      </c>
      <c r="M16" s="372">
        <f>D9</f>
        <v>200</v>
      </c>
      <c r="N16" s="210"/>
      <c r="O16" s="211"/>
    </row>
    <row r="17" spans="1:15" ht="15.75" customHeight="1" x14ac:dyDescent="0.75">
      <c r="A17" s="244"/>
      <c r="B17" s="207"/>
      <c r="C17" s="207"/>
      <c r="D17" s="207"/>
      <c r="E17" s="207"/>
      <c r="F17" s="207"/>
      <c r="G17" s="245"/>
      <c r="H17" s="240">
        <v>2025</v>
      </c>
      <c r="I17" s="211"/>
      <c r="J17" s="372"/>
      <c r="K17" s="211"/>
      <c r="L17" s="53" t="str">
        <f>IFERROR(M17/J17,"")</f>
        <v/>
      </c>
      <c r="M17" s="372">
        <f>E9</f>
        <v>400</v>
      </c>
      <c r="N17" s="210"/>
      <c r="O17" s="211"/>
    </row>
    <row r="18" spans="1:15" ht="15.75" customHeight="1" x14ac:dyDescent="0.75">
      <c r="A18" s="244"/>
      <c r="B18" s="207"/>
      <c r="C18" s="207"/>
      <c r="D18" s="207"/>
      <c r="E18" s="207"/>
      <c r="F18" s="207"/>
      <c r="G18" s="245"/>
      <c r="H18" s="240">
        <v>2026</v>
      </c>
      <c r="I18" s="211"/>
      <c r="J18" s="372"/>
      <c r="K18" s="211"/>
      <c r="L18" s="53" t="str">
        <f>IFERROR(M18/J18,"")</f>
        <v/>
      </c>
      <c r="M18" s="372">
        <f>F9</f>
        <v>600</v>
      </c>
      <c r="N18" s="210"/>
      <c r="O18" s="211"/>
    </row>
    <row r="19" spans="1:15" ht="15.75" customHeight="1" x14ac:dyDescent="0.75">
      <c r="A19" s="246"/>
      <c r="B19" s="216"/>
      <c r="C19" s="216"/>
      <c r="D19" s="216"/>
      <c r="E19" s="216"/>
      <c r="F19" s="216"/>
      <c r="G19" s="247"/>
      <c r="H19" s="240">
        <v>2027</v>
      </c>
      <c r="I19" s="211"/>
      <c r="J19" s="372"/>
      <c r="K19" s="211"/>
      <c r="L19" s="53" t="str">
        <f>IFERROR(M19/J19,"")</f>
        <v/>
      </c>
      <c r="M19" s="372">
        <f>G9</f>
        <v>600</v>
      </c>
      <c r="N19" s="210"/>
      <c r="O19" s="211"/>
    </row>
    <row r="20" spans="1:15" ht="14.25" customHeight="1" x14ac:dyDescent="0.75">
      <c r="A20" s="378" t="s">
        <v>241</v>
      </c>
      <c r="B20" s="211"/>
      <c r="C20" s="373" t="s">
        <v>485</v>
      </c>
      <c r="D20" s="210"/>
      <c r="E20" s="210"/>
      <c r="F20" s="210"/>
      <c r="G20" s="210"/>
      <c r="H20" s="210"/>
      <c r="I20" s="210"/>
      <c r="J20" s="210"/>
      <c r="K20" s="210"/>
      <c r="L20" s="210"/>
      <c r="M20" s="210"/>
      <c r="N20" s="210"/>
      <c r="O20" s="211"/>
    </row>
    <row r="21" spans="1:15" ht="14.25" customHeight="1" x14ac:dyDescent="0.75">
      <c r="A21" s="378" t="s">
        <v>242</v>
      </c>
      <c r="B21" s="211"/>
      <c r="C21" s="373" t="s">
        <v>475</v>
      </c>
      <c r="D21" s="210"/>
      <c r="E21" s="210"/>
      <c r="F21" s="210"/>
      <c r="G21" s="210"/>
      <c r="H21" s="210"/>
      <c r="I21" s="210"/>
      <c r="J21" s="210"/>
      <c r="K21" s="210"/>
      <c r="L21" s="210"/>
      <c r="M21" s="210"/>
      <c r="N21" s="210"/>
      <c r="O21" s="211"/>
    </row>
    <row r="22" spans="1:15" ht="27" customHeight="1" x14ac:dyDescent="0.75">
      <c r="A22" s="378" t="s">
        <v>243</v>
      </c>
      <c r="B22" s="211"/>
      <c r="C22" s="373" t="s">
        <v>486</v>
      </c>
      <c r="D22" s="210"/>
      <c r="E22" s="210"/>
      <c r="F22" s="210"/>
      <c r="G22" s="210"/>
      <c r="H22" s="210"/>
      <c r="I22" s="210"/>
      <c r="J22" s="210"/>
      <c r="K22" s="210"/>
      <c r="L22" s="210"/>
      <c r="M22" s="210"/>
      <c r="N22" s="210"/>
      <c r="O22" s="211"/>
    </row>
    <row r="23" spans="1:15" ht="14.25" customHeight="1" x14ac:dyDescent="0.75">
      <c r="A23" s="378" t="s">
        <v>276</v>
      </c>
      <c r="B23" s="211"/>
      <c r="C23" s="373" t="s">
        <v>487</v>
      </c>
      <c r="D23" s="210"/>
      <c r="E23" s="210"/>
      <c r="F23" s="210"/>
      <c r="G23" s="210"/>
      <c r="H23" s="210"/>
      <c r="I23" s="210"/>
      <c r="J23" s="210"/>
      <c r="K23" s="210"/>
      <c r="L23" s="210"/>
      <c r="M23" s="210"/>
      <c r="N23" s="210"/>
      <c r="O23" s="211"/>
    </row>
    <row r="24" spans="1:15" ht="15" customHeight="1" x14ac:dyDescent="0.75">
      <c r="A24" s="72" t="s">
        <v>278</v>
      </c>
      <c r="B24" s="73"/>
      <c r="C24" s="380" t="s">
        <v>448</v>
      </c>
      <c r="D24" s="210"/>
      <c r="E24" s="210"/>
      <c r="F24" s="210"/>
      <c r="G24" s="210"/>
      <c r="H24" s="210"/>
      <c r="I24" s="210"/>
      <c r="J24" s="210"/>
      <c r="K24" s="210"/>
      <c r="L24" s="210"/>
      <c r="M24" s="210"/>
      <c r="N24" s="210"/>
      <c r="O24" s="211"/>
    </row>
    <row r="25" spans="1:15" ht="15" customHeight="1" x14ac:dyDescent="0.75">
      <c r="A25" s="72" t="s">
        <v>306</v>
      </c>
      <c r="B25" s="73"/>
      <c r="C25" s="83" t="s">
        <v>449</v>
      </c>
      <c r="D25" s="75"/>
      <c r="E25" s="75"/>
      <c r="F25" s="75"/>
      <c r="G25" s="75"/>
      <c r="H25" s="75"/>
      <c r="I25" s="75"/>
      <c r="J25" s="75"/>
      <c r="K25" s="75"/>
      <c r="L25" s="75"/>
      <c r="M25" s="75"/>
      <c r="N25" s="75"/>
      <c r="O25" s="76"/>
    </row>
    <row r="26" spans="1:15" ht="15" customHeight="1" x14ac:dyDescent="0.75">
      <c r="A26" s="72" t="s">
        <v>251</v>
      </c>
      <c r="B26" s="73"/>
      <c r="C26" s="83" t="s">
        <v>449</v>
      </c>
      <c r="D26" s="75"/>
      <c r="E26" s="75"/>
      <c r="F26" s="75"/>
      <c r="G26" s="75"/>
      <c r="H26" s="75"/>
      <c r="I26" s="75"/>
      <c r="J26" s="75"/>
      <c r="K26" s="75"/>
      <c r="L26" s="75"/>
      <c r="M26" s="75"/>
      <c r="N26" s="75"/>
      <c r="O26" s="76"/>
    </row>
    <row r="27" spans="1:15" ht="15" customHeight="1" x14ac:dyDescent="0.75">
      <c r="A27" s="72" t="s">
        <v>253</v>
      </c>
      <c r="B27" s="73"/>
      <c r="C27" s="83" t="s">
        <v>46</v>
      </c>
      <c r="D27" s="75"/>
      <c r="E27" s="75"/>
      <c r="F27" s="75"/>
      <c r="G27" s="75"/>
      <c r="H27" s="75"/>
      <c r="I27" s="75"/>
      <c r="J27" s="75"/>
      <c r="K27" s="75"/>
      <c r="L27" s="75"/>
      <c r="M27" s="75"/>
      <c r="N27" s="75"/>
      <c r="O27" s="76"/>
    </row>
    <row r="28" spans="1:15" ht="15" customHeight="1" x14ac:dyDescent="0.75">
      <c r="A28" s="72" t="s">
        <v>283</v>
      </c>
      <c r="B28" s="73"/>
      <c r="C28" s="376" t="s">
        <v>488</v>
      </c>
      <c r="D28" s="210"/>
      <c r="E28" s="210"/>
      <c r="F28" s="210"/>
      <c r="G28" s="210"/>
      <c r="H28" s="210"/>
      <c r="I28" s="210"/>
      <c r="J28" s="210"/>
      <c r="K28" s="210"/>
      <c r="L28" s="210"/>
      <c r="M28" s="210"/>
      <c r="N28" s="210"/>
      <c r="O28" s="211"/>
    </row>
    <row r="29" spans="1:15" ht="14.25" customHeight="1" x14ac:dyDescent="0.75">
      <c r="A29" s="381" t="s">
        <v>334</v>
      </c>
      <c r="B29" s="211"/>
      <c r="C29" s="373" t="s">
        <v>489</v>
      </c>
      <c r="D29" s="210"/>
      <c r="E29" s="210"/>
      <c r="F29" s="210"/>
      <c r="G29" s="210"/>
      <c r="H29" s="210"/>
      <c r="I29" s="210"/>
      <c r="J29" s="210"/>
      <c r="K29" s="210"/>
      <c r="L29" s="210"/>
      <c r="M29" s="210"/>
      <c r="N29" s="210"/>
      <c r="O29" s="211"/>
    </row>
    <row r="30" spans="1:15" ht="15" customHeight="1" x14ac:dyDescent="0.75">
      <c r="A30" s="371" t="s">
        <v>258</v>
      </c>
      <c r="B30" s="211"/>
      <c r="C30" s="376" t="s">
        <v>225</v>
      </c>
      <c r="D30" s="210"/>
      <c r="E30" s="210"/>
      <c r="F30" s="210"/>
      <c r="G30" s="210"/>
      <c r="H30" s="210"/>
      <c r="I30" s="210"/>
      <c r="J30" s="210"/>
      <c r="K30" s="210"/>
      <c r="L30" s="210"/>
      <c r="M30" s="210"/>
      <c r="N30" s="210"/>
      <c r="O30" s="211"/>
    </row>
    <row r="31" spans="1:15" ht="14.25" customHeight="1" x14ac:dyDescent="0.75">
      <c r="A31" s="378" t="s">
        <v>259</v>
      </c>
      <c r="B31" s="211"/>
      <c r="C31" s="384" t="s">
        <v>490</v>
      </c>
      <c r="D31" s="210"/>
      <c r="E31" s="210"/>
      <c r="F31" s="210"/>
      <c r="G31" s="210"/>
      <c r="H31" s="210"/>
      <c r="I31" s="210"/>
      <c r="J31" s="210"/>
      <c r="K31" s="210"/>
      <c r="L31" s="210"/>
      <c r="M31" s="210"/>
      <c r="N31" s="210"/>
      <c r="O31" s="211"/>
    </row>
    <row r="32" spans="1:15" ht="15" customHeight="1" x14ac:dyDescent="0.75">
      <c r="A32" s="72" t="s">
        <v>261</v>
      </c>
      <c r="B32" s="73"/>
      <c r="C32" s="376" t="s">
        <v>491</v>
      </c>
      <c r="D32" s="210"/>
      <c r="E32" s="210"/>
      <c r="F32" s="210"/>
      <c r="G32" s="210"/>
      <c r="H32" s="210"/>
      <c r="I32" s="210"/>
      <c r="J32" s="210"/>
      <c r="K32" s="210"/>
      <c r="L32" s="210"/>
      <c r="M32" s="210"/>
      <c r="N32" s="210"/>
      <c r="O32" s="211"/>
    </row>
    <row r="33" spans="1:15" ht="39" customHeight="1" x14ac:dyDescent="0.75">
      <c r="A33" s="381" t="s">
        <v>314</v>
      </c>
      <c r="B33" s="211"/>
      <c r="C33" s="271" t="s">
        <v>492</v>
      </c>
      <c r="D33" s="210"/>
      <c r="E33" s="210"/>
      <c r="F33" s="210"/>
      <c r="G33" s="210"/>
      <c r="H33" s="210"/>
      <c r="I33" s="210"/>
      <c r="J33" s="210"/>
      <c r="K33" s="210"/>
      <c r="L33" s="210"/>
      <c r="M33" s="210"/>
      <c r="N33" s="210"/>
      <c r="O33" s="211"/>
    </row>
  </sheetData>
  <mergeCells count="61">
    <mergeCell ref="A1:O1"/>
    <mergeCell ref="J18:K18"/>
    <mergeCell ref="C21:O21"/>
    <mergeCell ref="H14:I14"/>
    <mergeCell ref="A31:B31"/>
    <mergeCell ref="J17:K17"/>
    <mergeCell ref="H12:O12"/>
    <mergeCell ref="C22:O22"/>
    <mergeCell ref="A29:B29"/>
    <mergeCell ref="C31:O31"/>
    <mergeCell ref="C3:C4"/>
    <mergeCell ref="H15:I15"/>
    <mergeCell ref="H18:I18"/>
    <mergeCell ref="H2:J2"/>
    <mergeCell ref="M16:O16"/>
    <mergeCell ref="I3:I4"/>
    <mergeCell ref="C33:O33"/>
    <mergeCell ref="A11:G11"/>
    <mergeCell ref="C24:O24"/>
    <mergeCell ref="H17:I17"/>
    <mergeCell ref="M14:O14"/>
    <mergeCell ref="A12:B12"/>
    <mergeCell ref="A21:B21"/>
    <mergeCell ref="M19:O19"/>
    <mergeCell ref="H16:I16"/>
    <mergeCell ref="H11:O11"/>
    <mergeCell ref="A33:B33"/>
    <mergeCell ref="J16:K16"/>
    <mergeCell ref="C20:O20"/>
    <mergeCell ref="H19:I19"/>
    <mergeCell ref="C29:O29"/>
    <mergeCell ref="A23:B23"/>
    <mergeCell ref="J3:J4"/>
    <mergeCell ref="C32:O32"/>
    <mergeCell ref="A10:G10"/>
    <mergeCell ref="M15:O15"/>
    <mergeCell ref="C28:O28"/>
    <mergeCell ref="A13:G19"/>
    <mergeCell ref="M18:O18"/>
    <mergeCell ref="J15:K15"/>
    <mergeCell ref="M17:O17"/>
    <mergeCell ref="C30:O30"/>
    <mergeCell ref="H13:O13"/>
    <mergeCell ref="A22:B22"/>
    <mergeCell ref="A20:B20"/>
    <mergeCell ref="J5:J9"/>
    <mergeCell ref="C2:G2"/>
    <mergeCell ref="K2:O2"/>
    <mergeCell ref="H3:H4"/>
    <mergeCell ref="A30:B30"/>
    <mergeCell ref="D3:G3"/>
    <mergeCell ref="I5:I9"/>
    <mergeCell ref="D12:G12"/>
    <mergeCell ref="C23:O23"/>
    <mergeCell ref="A3:A9"/>
    <mergeCell ref="J14:K14"/>
    <mergeCell ref="B3:B4"/>
    <mergeCell ref="K3:O9"/>
    <mergeCell ref="J19:K19"/>
    <mergeCell ref="H10:O10"/>
    <mergeCell ref="H5:H9"/>
  </mergeCells>
  <pageMargins left="0.70833333333333304" right="0.70833333333333304" top="0.74791666666666701" bottom="0.74791666666666701" header="0.511811023622047" footer="0.511811023622047"/>
  <pageSetup paperSize="9" scale="80" orientation="landscape"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opLeftCell="A2" zoomScale="50" zoomScaleNormal="99" workbookViewId="0">
      <selection activeCell="L15" sqref="L15:L19"/>
    </sheetView>
  </sheetViews>
  <sheetFormatPr baseColWidth="10" defaultColWidth="11.453125" defaultRowHeight="14.75" x14ac:dyDescent="0.75"/>
  <cols>
    <col min="2" max="2" width="25.76953125" style="124" customWidth="1"/>
    <col min="4" max="7" width="10" style="124" customWidth="1"/>
    <col min="8" max="8" width="12.453125" style="124" customWidth="1"/>
    <col min="10" max="10" width="13.453125" style="124" customWidth="1"/>
    <col min="11" max="11" width="2.2265625" style="124"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9" customHeight="1" x14ac:dyDescent="0.75">
      <c r="A2" s="126" t="s">
        <v>214</v>
      </c>
      <c r="B2" s="126" t="s">
        <v>215</v>
      </c>
      <c r="C2" s="261" t="s">
        <v>216</v>
      </c>
      <c r="D2" s="210"/>
      <c r="E2" s="210"/>
      <c r="F2" s="210"/>
      <c r="G2" s="211"/>
      <c r="H2" s="264" t="s">
        <v>414</v>
      </c>
      <c r="I2" s="210"/>
      <c r="J2" s="211"/>
      <c r="K2" s="261" t="s">
        <v>415</v>
      </c>
      <c r="L2" s="210"/>
      <c r="M2" s="210"/>
      <c r="N2" s="210"/>
      <c r="O2" s="211"/>
    </row>
    <row r="3" spans="1:15" ht="14.25" customHeight="1" x14ac:dyDescent="0.75">
      <c r="A3" s="372" t="s">
        <v>121</v>
      </c>
      <c r="B3" s="240"/>
      <c r="C3" s="254" t="s">
        <v>219</v>
      </c>
      <c r="D3" s="240" t="s">
        <v>220</v>
      </c>
      <c r="E3" s="210"/>
      <c r="F3" s="210"/>
      <c r="G3" s="211"/>
      <c r="H3" s="254" t="s">
        <v>38</v>
      </c>
      <c r="I3" s="254" t="s">
        <v>221</v>
      </c>
      <c r="J3" s="254" t="s">
        <v>222</v>
      </c>
      <c r="K3" s="374" t="s">
        <v>493</v>
      </c>
      <c r="L3" s="242"/>
      <c r="M3" s="242"/>
      <c r="N3" s="242"/>
      <c r="O3" s="243"/>
    </row>
    <row r="4" spans="1:15" ht="62.2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66"/>
      <c r="D5" s="66"/>
      <c r="E5" s="66"/>
      <c r="F5" s="66"/>
      <c r="G5" s="66"/>
      <c r="H5" s="262" t="s">
        <v>225</v>
      </c>
      <c r="I5" s="241" t="s">
        <v>494</v>
      </c>
      <c r="J5" s="241" t="s">
        <v>46</v>
      </c>
      <c r="K5" s="244"/>
      <c r="L5" s="207"/>
      <c r="M5" s="207"/>
      <c r="N5" s="207"/>
      <c r="O5" s="245"/>
    </row>
    <row r="6" spans="1:15" ht="15" customHeight="1" x14ac:dyDescent="0.75">
      <c r="A6" s="224"/>
      <c r="B6" s="130" t="s">
        <v>227</v>
      </c>
      <c r="C6" s="66"/>
      <c r="D6" s="67"/>
      <c r="E6" s="67"/>
      <c r="F6" s="67"/>
      <c r="G6" s="67"/>
      <c r="H6" s="224"/>
      <c r="I6" s="224"/>
      <c r="J6" s="224"/>
      <c r="K6" s="244"/>
      <c r="L6" s="207"/>
      <c r="M6" s="207"/>
      <c r="N6" s="207"/>
      <c r="O6" s="245"/>
    </row>
    <row r="7" spans="1:15" ht="15" customHeight="1" x14ac:dyDescent="0.75">
      <c r="A7" s="224"/>
      <c r="B7" s="130" t="s">
        <v>228</v>
      </c>
      <c r="C7" s="68"/>
      <c r="D7" s="68"/>
      <c r="E7" s="68"/>
      <c r="F7" s="68"/>
      <c r="G7" s="68"/>
      <c r="H7" s="224"/>
      <c r="I7" s="224"/>
      <c r="J7" s="224"/>
      <c r="K7" s="244"/>
      <c r="L7" s="207"/>
      <c r="M7" s="207"/>
      <c r="N7" s="207"/>
      <c r="O7" s="245"/>
    </row>
    <row r="8" spans="1:15" ht="15" customHeight="1" x14ac:dyDescent="0.75">
      <c r="A8" s="224"/>
      <c r="B8" s="130" t="s">
        <v>229</v>
      </c>
      <c r="C8" s="68"/>
      <c r="D8" s="68"/>
      <c r="E8" s="68"/>
      <c r="F8" s="68"/>
      <c r="G8" s="68"/>
      <c r="H8" s="224"/>
      <c r="I8" s="224"/>
      <c r="J8" s="224"/>
      <c r="K8" s="244"/>
      <c r="L8" s="207"/>
      <c r="M8" s="207"/>
      <c r="N8" s="207"/>
      <c r="O8" s="245"/>
    </row>
    <row r="9" spans="1:15" ht="15" customHeight="1" x14ac:dyDescent="0.75">
      <c r="A9" s="213"/>
      <c r="B9" s="51" t="s">
        <v>230</v>
      </c>
      <c r="C9" s="69"/>
      <c r="D9" s="70">
        <v>1000000</v>
      </c>
      <c r="E9" s="70">
        <v>3000000</v>
      </c>
      <c r="F9" s="70">
        <v>3000000</v>
      </c>
      <c r="G9" s="70">
        <v>4000000</v>
      </c>
      <c r="H9" s="213"/>
      <c r="I9" s="213"/>
      <c r="J9" s="213"/>
      <c r="K9" s="246"/>
      <c r="L9" s="216"/>
      <c r="M9" s="216"/>
      <c r="N9" s="216"/>
      <c r="O9" s="247"/>
    </row>
    <row r="10" spans="1:15" s="3" customFormat="1" ht="14.25" customHeight="1" x14ac:dyDescent="0.75">
      <c r="A10" s="258" t="s">
        <v>12</v>
      </c>
      <c r="B10" s="210"/>
      <c r="C10" s="210"/>
      <c r="D10" s="210"/>
      <c r="E10" s="210"/>
      <c r="F10" s="210"/>
      <c r="G10" s="211"/>
      <c r="H10" s="375" t="s">
        <v>17</v>
      </c>
      <c r="I10" s="210"/>
      <c r="J10" s="210"/>
      <c r="K10" s="210"/>
      <c r="L10" s="210"/>
      <c r="M10" s="210"/>
      <c r="N10" s="210"/>
      <c r="O10" s="211"/>
    </row>
    <row r="11" spans="1:15" s="3" customFormat="1" ht="15.75" customHeight="1" x14ac:dyDescent="0.75">
      <c r="A11" s="379" t="s">
        <v>16</v>
      </c>
      <c r="B11" s="210"/>
      <c r="C11" s="210"/>
      <c r="D11" s="210"/>
      <c r="E11" s="210"/>
      <c r="F11" s="210"/>
      <c r="G11" s="211"/>
      <c r="H11" s="395" t="s">
        <v>109</v>
      </c>
      <c r="I11" s="210"/>
      <c r="J11" s="210"/>
      <c r="K11" s="210"/>
      <c r="L11" s="210"/>
      <c r="M11" s="210"/>
      <c r="N11" s="210"/>
      <c r="O11" s="211"/>
    </row>
    <row r="12" spans="1:15" s="3" customFormat="1" ht="14.25" customHeight="1" x14ac:dyDescent="0.75">
      <c r="A12" s="375" t="s">
        <v>416</v>
      </c>
      <c r="B12" s="211"/>
      <c r="C12" s="71"/>
      <c r="D12" s="372" t="str">
        <f>A3</f>
        <v>IR2.2.3</v>
      </c>
      <c r="E12" s="210"/>
      <c r="F12" s="210"/>
      <c r="G12" s="211"/>
      <c r="H12" s="382" t="s">
        <v>495</v>
      </c>
      <c r="I12" s="210"/>
      <c r="J12" s="210"/>
      <c r="K12" s="210"/>
      <c r="L12" s="210"/>
      <c r="M12" s="210"/>
      <c r="N12" s="210"/>
      <c r="O12" s="211"/>
    </row>
    <row r="13" spans="1:15" ht="14.25" customHeight="1" x14ac:dyDescent="0.75">
      <c r="A13" s="268" t="s">
        <v>496</v>
      </c>
      <c r="B13" s="242"/>
      <c r="C13" s="242"/>
      <c r="D13" s="242"/>
      <c r="E13" s="242"/>
      <c r="F13" s="242"/>
      <c r="G13" s="243"/>
      <c r="H13" s="240" t="s">
        <v>235</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t="s">
        <v>238</v>
      </c>
      <c r="M14" s="240" t="s">
        <v>272</v>
      </c>
      <c r="N14" s="210"/>
      <c r="O14" s="211"/>
    </row>
    <row r="15" spans="1:15" ht="15.75" customHeight="1" x14ac:dyDescent="0.75">
      <c r="A15" s="244"/>
      <c r="B15" s="207"/>
      <c r="C15" s="207"/>
      <c r="D15" s="207"/>
      <c r="E15" s="207"/>
      <c r="F15" s="207"/>
      <c r="G15" s="245"/>
      <c r="H15" s="240" t="s">
        <v>240</v>
      </c>
      <c r="I15" s="211"/>
      <c r="J15" s="241"/>
      <c r="K15" s="211"/>
      <c r="L15" s="53" t="str">
        <f>IFERROR(M15/J15,"")</f>
        <v/>
      </c>
      <c r="M15" s="252">
        <f>C9</f>
        <v>0</v>
      </c>
      <c r="N15" s="210"/>
      <c r="O15" s="211"/>
    </row>
    <row r="16" spans="1:15" ht="15.75" customHeight="1" x14ac:dyDescent="0.75">
      <c r="A16" s="244"/>
      <c r="B16" s="207"/>
      <c r="C16" s="207"/>
      <c r="D16" s="207"/>
      <c r="E16" s="207"/>
      <c r="F16" s="207"/>
      <c r="G16" s="245"/>
      <c r="H16" s="240">
        <v>2024</v>
      </c>
      <c r="I16" s="211"/>
      <c r="J16" s="372"/>
      <c r="K16" s="211"/>
      <c r="L16" s="53" t="str">
        <f>IFERROR(M16/J16,"")</f>
        <v/>
      </c>
      <c r="M16" s="396">
        <f>D9</f>
        <v>1000000</v>
      </c>
      <c r="N16" s="210"/>
      <c r="O16" s="211"/>
    </row>
    <row r="17" spans="1:15" ht="15.75" customHeight="1" x14ac:dyDescent="0.75">
      <c r="A17" s="244"/>
      <c r="B17" s="207"/>
      <c r="C17" s="207"/>
      <c r="D17" s="207"/>
      <c r="E17" s="207"/>
      <c r="F17" s="207"/>
      <c r="G17" s="245"/>
      <c r="H17" s="240">
        <v>2025</v>
      </c>
      <c r="I17" s="211"/>
      <c r="J17" s="372"/>
      <c r="K17" s="211"/>
      <c r="L17" s="53" t="str">
        <f>IFERROR(M17/J17,"")</f>
        <v/>
      </c>
      <c r="M17" s="396">
        <f>E9</f>
        <v>3000000</v>
      </c>
      <c r="N17" s="210"/>
      <c r="O17" s="211"/>
    </row>
    <row r="18" spans="1:15" ht="15.75" customHeight="1" x14ac:dyDescent="0.75">
      <c r="A18" s="244"/>
      <c r="B18" s="207"/>
      <c r="C18" s="207"/>
      <c r="D18" s="207"/>
      <c r="E18" s="207"/>
      <c r="F18" s="207"/>
      <c r="G18" s="245"/>
      <c r="H18" s="240">
        <v>2026</v>
      </c>
      <c r="I18" s="211"/>
      <c r="J18" s="372"/>
      <c r="K18" s="211"/>
      <c r="L18" s="53" t="str">
        <f>IFERROR(M18/J18,"")</f>
        <v/>
      </c>
      <c r="M18" s="396">
        <f>F9</f>
        <v>3000000</v>
      </c>
      <c r="N18" s="210"/>
      <c r="O18" s="211"/>
    </row>
    <row r="19" spans="1:15" ht="24.75" customHeight="1" x14ac:dyDescent="0.75">
      <c r="A19" s="246"/>
      <c r="B19" s="216"/>
      <c r="C19" s="216"/>
      <c r="D19" s="216"/>
      <c r="E19" s="216"/>
      <c r="F19" s="216"/>
      <c r="G19" s="247"/>
      <c r="H19" s="240">
        <v>2027</v>
      </c>
      <c r="I19" s="211"/>
      <c r="J19" s="372"/>
      <c r="K19" s="211"/>
      <c r="L19" s="53" t="str">
        <f>IFERROR(M19/J19,"")</f>
        <v/>
      </c>
      <c r="M19" s="396">
        <f>G9</f>
        <v>4000000</v>
      </c>
      <c r="N19" s="210"/>
      <c r="O19" s="211"/>
    </row>
    <row r="20" spans="1:15" ht="14.25" customHeight="1" x14ac:dyDescent="0.75">
      <c r="A20" s="378" t="s">
        <v>241</v>
      </c>
      <c r="B20" s="211"/>
      <c r="C20" s="373" t="s">
        <v>497</v>
      </c>
      <c r="D20" s="210"/>
      <c r="E20" s="210"/>
      <c r="F20" s="210"/>
      <c r="G20" s="210"/>
      <c r="H20" s="210"/>
      <c r="I20" s="210"/>
      <c r="J20" s="210"/>
      <c r="K20" s="210"/>
      <c r="L20" s="210"/>
      <c r="M20" s="210"/>
      <c r="N20" s="210"/>
      <c r="O20" s="211"/>
    </row>
    <row r="21" spans="1:15" ht="14.25" customHeight="1" x14ac:dyDescent="0.75">
      <c r="A21" s="378" t="s">
        <v>242</v>
      </c>
      <c r="B21" s="211"/>
      <c r="C21" s="373" t="s">
        <v>475</v>
      </c>
      <c r="D21" s="210"/>
      <c r="E21" s="210"/>
      <c r="F21" s="210"/>
      <c r="G21" s="210"/>
      <c r="H21" s="210"/>
      <c r="I21" s="210"/>
      <c r="J21" s="210"/>
      <c r="K21" s="210"/>
      <c r="L21" s="210"/>
      <c r="M21" s="210"/>
      <c r="N21" s="210"/>
      <c r="O21" s="211"/>
    </row>
    <row r="22" spans="1:15" ht="51" customHeight="1" x14ac:dyDescent="0.75">
      <c r="A22" s="378" t="s">
        <v>243</v>
      </c>
      <c r="B22" s="211"/>
      <c r="C22" s="373" t="s">
        <v>498</v>
      </c>
      <c r="D22" s="210"/>
      <c r="E22" s="210"/>
      <c r="F22" s="210"/>
      <c r="G22" s="210"/>
      <c r="H22" s="210"/>
      <c r="I22" s="210"/>
      <c r="J22" s="210"/>
      <c r="K22" s="210"/>
      <c r="L22" s="210"/>
      <c r="M22" s="210"/>
      <c r="N22" s="210"/>
      <c r="O22" s="211"/>
    </row>
    <row r="23" spans="1:15" ht="14.25" customHeight="1" x14ac:dyDescent="0.75">
      <c r="A23" s="378" t="s">
        <v>276</v>
      </c>
      <c r="B23" s="211"/>
      <c r="C23" s="373" t="s">
        <v>499</v>
      </c>
      <c r="D23" s="210"/>
      <c r="E23" s="210"/>
      <c r="F23" s="210"/>
      <c r="G23" s="210"/>
      <c r="H23" s="210"/>
      <c r="I23" s="210"/>
      <c r="J23" s="210"/>
      <c r="K23" s="210"/>
      <c r="L23" s="210"/>
      <c r="M23" s="210"/>
      <c r="N23" s="210"/>
      <c r="O23" s="211"/>
    </row>
    <row r="24" spans="1:15" ht="15" customHeight="1" x14ac:dyDescent="0.75">
      <c r="A24" s="72" t="s">
        <v>278</v>
      </c>
      <c r="B24" s="73"/>
      <c r="C24" s="380" t="s">
        <v>448</v>
      </c>
      <c r="D24" s="210"/>
      <c r="E24" s="210"/>
      <c r="F24" s="210"/>
      <c r="G24" s="210"/>
      <c r="H24" s="210"/>
      <c r="I24" s="210"/>
      <c r="J24" s="210"/>
      <c r="K24" s="210"/>
      <c r="L24" s="210"/>
      <c r="M24" s="210"/>
      <c r="N24" s="210"/>
      <c r="O24" s="211"/>
    </row>
    <row r="25" spans="1:15" ht="15" customHeight="1" x14ac:dyDescent="0.75">
      <c r="A25" s="72" t="s">
        <v>306</v>
      </c>
      <c r="B25" s="73"/>
      <c r="C25" s="74" t="s">
        <v>565</v>
      </c>
      <c r="D25" s="75"/>
      <c r="E25" s="75"/>
      <c r="F25" s="75"/>
      <c r="G25" s="75"/>
      <c r="H25" s="75"/>
      <c r="I25" s="75"/>
      <c r="J25" s="75"/>
      <c r="K25" s="75"/>
      <c r="L25" s="75"/>
      <c r="M25" s="75"/>
      <c r="N25" s="75"/>
      <c r="O25" s="76"/>
    </row>
    <row r="26" spans="1:15" ht="15" customHeight="1" x14ac:dyDescent="0.75">
      <c r="A26" s="72" t="s">
        <v>251</v>
      </c>
      <c r="B26" s="73"/>
      <c r="C26" s="74" t="s">
        <v>564</v>
      </c>
      <c r="D26" s="75"/>
      <c r="E26" s="75"/>
      <c r="F26" s="75"/>
      <c r="G26" s="75"/>
      <c r="H26" s="75"/>
      <c r="I26" s="75"/>
      <c r="J26" s="75"/>
      <c r="K26" s="75"/>
      <c r="L26" s="75"/>
      <c r="M26" s="75"/>
      <c r="N26" s="75"/>
      <c r="O26" s="76"/>
    </row>
    <row r="27" spans="1:15" ht="15" customHeight="1" x14ac:dyDescent="0.75">
      <c r="A27" s="72" t="s">
        <v>253</v>
      </c>
      <c r="B27" s="73"/>
      <c r="C27" s="74" t="s">
        <v>557</v>
      </c>
      <c r="D27" s="75"/>
      <c r="E27" s="75"/>
      <c r="F27" s="75"/>
      <c r="G27" s="75"/>
      <c r="H27" s="75"/>
      <c r="I27" s="75"/>
      <c r="J27" s="75"/>
      <c r="K27" s="75"/>
      <c r="L27" s="75"/>
      <c r="M27" s="75"/>
      <c r="N27" s="75"/>
      <c r="O27" s="76"/>
    </row>
    <row r="28" spans="1:15" ht="15" customHeight="1" x14ac:dyDescent="0.75">
      <c r="A28" s="72" t="s">
        <v>283</v>
      </c>
      <c r="B28" s="73"/>
      <c r="C28" s="376" t="s">
        <v>488</v>
      </c>
      <c r="D28" s="210"/>
      <c r="E28" s="210"/>
      <c r="F28" s="210"/>
      <c r="G28" s="210"/>
      <c r="H28" s="210"/>
      <c r="I28" s="210"/>
      <c r="J28" s="210"/>
      <c r="K28" s="210"/>
      <c r="L28" s="210"/>
      <c r="M28" s="210"/>
      <c r="N28" s="210"/>
      <c r="O28" s="211"/>
    </row>
    <row r="29" spans="1:15" ht="14.25" customHeight="1" x14ac:dyDescent="0.75">
      <c r="A29" s="381" t="s">
        <v>334</v>
      </c>
      <c r="B29" s="211"/>
      <c r="C29" s="373" t="s">
        <v>500</v>
      </c>
      <c r="D29" s="210"/>
      <c r="E29" s="210"/>
      <c r="F29" s="210"/>
      <c r="G29" s="210"/>
      <c r="H29" s="210"/>
      <c r="I29" s="210"/>
      <c r="J29" s="210"/>
      <c r="K29" s="210"/>
      <c r="L29" s="210"/>
      <c r="M29" s="210"/>
      <c r="N29" s="210"/>
      <c r="O29" s="211"/>
    </row>
    <row r="30" spans="1:15" ht="15" customHeight="1" x14ac:dyDescent="0.75">
      <c r="A30" s="371" t="s">
        <v>258</v>
      </c>
      <c r="B30" s="211"/>
      <c r="C30" s="376" t="s">
        <v>225</v>
      </c>
      <c r="D30" s="210"/>
      <c r="E30" s="210"/>
      <c r="F30" s="210"/>
      <c r="G30" s="210"/>
      <c r="H30" s="210"/>
      <c r="I30" s="210"/>
      <c r="J30" s="210"/>
      <c r="K30" s="210"/>
      <c r="L30" s="210"/>
      <c r="M30" s="210"/>
      <c r="N30" s="210"/>
      <c r="O30" s="211"/>
    </row>
    <row r="31" spans="1:15" ht="15" customHeight="1" x14ac:dyDescent="0.75">
      <c r="A31" s="77" t="s">
        <v>418</v>
      </c>
      <c r="B31" s="78"/>
      <c r="C31" s="74" t="s">
        <v>566</v>
      </c>
      <c r="D31" s="75"/>
      <c r="E31" s="75"/>
      <c r="F31" s="75"/>
      <c r="G31" s="75"/>
      <c r="H31" s="75"/>
      <c r="I31" s="75"/>
      <c r="J31" s="75"/>
      <c r="K31" s="75"/>
      <c r="L31" s="75"/>
      <c r="M31" s="75"/>
      <c r="N31" s="75"/>
      <c r="O31" s="76"/>
    </row>
    <row r="32" spans="1:15" ht="15" customHeight="1" x14ac:dyDescent="0.75">
      <c r="A32" s="72" t="s">
        <v>261</v>
      </c>
      <c r="B32" s="73"/>
      <c r="C32" s="376" t="s">
        <v>491</v>
      </c>
      <c r="D32" s="210"/>
      <c r="E32" s="210"/>
      <c r="F32" s="210"/>
      <c r="G32" s="210"/>
      <c r="H32" s="210"/>
      <c r="I32" s="210"/>
      <c r="J32" s="210"/>
      <c r="K32" s="210"/>
      <c r="L32" s="210"/>
      <c r="M32" s="210"/>
      <c r="N32" s="210"/>
      <c r="O32" s="211"/>
    </row>
    <row r="33" spans="1:15" ht="39" customHeight="1" x14ac:dyDescent="0.75">
      <c r="A33" s="381" t="s">
        <v>314</v>
      </c>
      <c r="B33" s="211"/>
      <c r="C33" s="271" t="s">
        <v>492</v>
      </c>
      <c r="D33" s="210"/>
      <c r="E33" s="210"/>
      <c r="F33" s="210"/>
      <c r="G33" s="210"/>
      <c r="H33" s="210"/>
      <c r="I33" s="210"/>
      <c r="J33" s="210"/>
      <c r="K33" s="210"/>
      <c r="L33" s="210"/>
      <c r="M33" s="210"/>
      <c r="N33" s="210"/>
      <c r="O33" s="211"/>
    </row>
  </sheetData>
  <mergeCells count="59">
    <mergeCell ref="A1:O1"/>
    <mergeCell ref="C21:O21"/>
    <mergeCell ref="H14:I14"/>
    <mergeCell ref="J17:K17"/>
    <mergeCell ref="C2:G2"/>
    <mergeCell ref="M16:O16"/>
    <mergeCell ref="I3:I4"/>
    <mergeCell ref="J5:J9"/>
    <mergeCell ref="A3:A9"/>
    <mergeCell ref="B3:B4"/>
    <mergeCell ref="K3:O9"/>
    <mergeCell ref="C3:C4"/>
    <mergeCell ref="D3:G3"/>
    <mergeCell ref="I5:I9"/>
    <mergeCell ref="C32:O32"/>
    <mergeCell ref="K2:O2"/>
    <mergeCell ref="H3:H4"/>
    <mergeCell ref="A29:B29"/>
    <mergeCell ref="C20:O20"/>
    <mergeCell ref="H19:I19"/>
    <mergeCell ref="J3:J4"/>
    <mergeCell ref="H5:H9"/>
    <mergeCell ref="A23:B23"/>
    <mergeCell ref="H13:O13"/>
    <mergeCell ref="A22:B22"/>
    <mergeCell ref="A20:B20"/>
    <mergeCell ref="H12:O12"/>
    <mergeCell ref="C22:O22"/>
    <mergeCell ref="C28:O28"/>
    <mergeCell ref="H2:J2"/>
    <mergeCell ref="C29:O29"/>
    <mergeCell ref="A10:G10"/>
    <mergeCell ref="M15:O15"/>
    <mergeCell ref="A13:G19"/>
    <mergeCell ref="M18:O18"/>
    <mergeCell ref="J15:K15"/>
    <mergeCell ref="M17:O17"/>
    <mergeCell ref="A11:G11"/>
    <mergeCell ref="C24:O24"/>
    <mergeCell ref="H17:I17"/>
    <mergeCell ref="M14:O14"/>
    <mergeCell ref="A12:B12"/>
    <mergeCell ref="J14:K14"/>
    <mergeCell ref="A33:B33"/>
    <mergeCell ref="H10:O10"/>
    <mergeCell ref="J19:K19"/>
    <mergeCell ref="C30:O30"/>
    <mergeCell ref="A21:B21"/>
    <mergeCell ref="M19:O19"/>
    <mergeCell ref="H16:I16"/>
    <mergeCell ref="H11:O11"/>
    <mergeCell ref="A30:B30"/>
    <mergeCell ref="J16:K16"/>
    <mergeCell ref="H15:I15"/>
    <mergeCell ref="C33:O33"/>
    <mergeCell ref="D12:G12"/>
    <mergeCell ref="C23:O23"/>
    <mergeCell ref="H18:I18"/>
    <mergeCell ref="J18:K18"/>
  </mergeCells>
  <pageMargins left="0.7" right="0.7" top="0.75" bottom="0.75" header="0.511811023622047" footer="0.511811023622047"/>
  <pageSetup paperSize="9" scale="50"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opLeftCell="B11" zoomScale="77" zoomScaleNormal="101" workbookViewId="0">
      <selection activeCell="L15" sqref="L15:L19"/>
    </sheetView>
  </sheetViews>
  <sheetFormatPr baseColWidth="10" defaultColWidth="11.453125" defaultRowHeight="14.75" x14ac:dyDescent="0.75"/>
  <cols>
    <col min="2" max="2" width="25.76953125" style="124" customWidth="1"/>
    <col min="3" max="3" width="12.76953125" style="124" customWidth="1"/>
    <col min="4" max="4" width="6.76953125" style="124" customWidth="1"/>
    <col min="5" max="7" width="6" style="124" customWidth="1"/>
    <col min="8" max="8" width="12.453125" style="124" customWidth="1"/>
    <col min="10" max="10" width="14.76953125" style="124" customWidth="1"/>
    <col min="11" max="11" width="0.76953125" style="124"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9" customHeight="1" x14ac:dyDescent="0.75">
      <c r="A2" s="126" t="s">
        <v>214</v>
      </c>
      <c r="B2" s="126" t="s">
        <v>215</v>
      </c>
      <c r="C2" s="261" t="s">
        <v>216</v>
      </c>
      <c r="D2" s="210"/>
      <c r="E2" s="210"/>
      <c r="F2" s="210"/>
      <c r="G2" s="211"/>
      <c r="H2" s="264" t="s">
        <v>414</v>
      </c>
      <c r="I2" s="210"/>
      <c r="J2" s="211"/>
      <c r="K2" s="261" t="s">
        <v>415</v>
      </c>
      <c r="L2" s="210"/>
      <c r="M2" s="210"/>
      <c r="N2" s="210"/>
      <c r="O2" s="211"/>
    </row>
    <row r="3" spans="1:15" ht="14.25" customHeight="1" x14ac:dyDescent="0.75">
      <c r="A3" s="369" t="s">
        <v>501</v>
      </c>
      <c r="B3" s="240"/>
      <c r="C3" s="254" t="s">
        <v>219</v>
      </c>
      <c r="D3" s="240" t="s">
        <v>220</v>
      </c>
      <c r="E3" s="210"/>
      <c r="F3" s="210"/>
      <c r="G3" s="211"/>
      <c r="H3" s="254" t="s">
        <v>38</v>
      </c>
      <c r="I3" s="254" t="s">
        <v>221</v>
      </c>
      <c r="J3" s="254" t="s">
        <v>222</v>
      </c>
      <c r="K3" s="374" t="s">
        <v>499</v>
      </c>
      <c r="L3" s="242"/>
      <c r="M3" s="242"/>
      <c r="N3" s="242"/>
      <c r="O3" s="243"/>
    </row>
    <row r="4" spans="1:15" ht="62.2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81" t="s">
        <v>224</v>
      </c>
      <c r="C5" s="57"/>
      <c r="D5" s="57"/>
      <c r="E5" s="57"/>
      <c r="F5" s="57"/>
      <c r="G5" s="57"/>
      <c r="H5" s="262" t="s">
        <v>356</v>
      </c>
      <c r="I5" s="241" t="s">
        <v>502</v>
      </c>
      <c r="J5" s="241" t="s">
        <v>46</v>
      </c>
      <c r="K5" s="244"/>
      <c r="L5" s="207"/>
      <c r="M5" s="207"/>
      <c r="N5" s="207"/>
      <c r="O5" s="245"/>
    </row>
    <row r="6" spans="1:15" ht="15" customHeight="1" x14ac:dyDescent="0.75">
      <c r="A6" s="224"/>
      <c r="B6" s="81" t="s">
        <v>227</v>
      </c>
      <c r="C6" s="57"/>
      <c r="D6" s="84"/>
      <c r="E6" s="84"/>
      <c r="F6" s="84"/>
      <c r="G6" s="84"/>
      <c r="H6" s="224"/>
      <c r="I6" s="224"/>
      <c r="J6" s="224"/>
      <c r="K6" s="244"/>
      <c r="L6" s="207"/>
      <c r="M6" s="207"/>
      <c r="N6" s="207"/>
      <c r="O6" s="245"/>
    </row>
    <row r="7" spans="1:15" ht="15" customHeight="1" x14ac:dyDescent="0.75">
      <c r="A7" s="224"/>
      <c r="B7" s="81" t="s">
        <v>228</v>
      </c>
      <c r="C7" s="58"/>
      <c r="D7" s="58"/>
      <c r="E7" s="58"/>
      <c r="F7" s="58"/>
      <c r="G7" s="58"/>
      <c r="H7" s="224"/>
      <c r="I7" s="224"/>
      <c r="J7" s="224"/>
      <c r="K7" s="244"/>
      <c r="L7" s="207"/>
      <c r="M7" s="207"/>
      <c r="N7" s="207"/>
      <c r="O7" s="245"/>
    </row>
    <row r="8" spans="1:15" ht="15" customHeight="1" x14ac:dyDescent="0.75">
      <c r="A8" s="224"/>
      <c r="B8" s="81" t="s">
        <v>229</v>
      </c>
      <c r="C8" s="68"/>
      <c r="D8" s="68"/>
      <c r="E8" s="68"/>
      <c r="F8" s="68"/>
      <c r="G8" s="68"/>
      <c r="H8" s="224"/>
      <c r="I8" s="224"/>
      <c r="J8" s="224"/>
      <c r="K8" s="244"/>
      <c r="L8" s="207"/>
      <c r="M8" s="207"/>
      <c r="N8" s="207"/>
      <c r="O8" s="245"/>
    </row>
    <row r="9" spans="1:15" ht="15" customHeight="1" x14ac:dyDescent="0.75">
      <c r="A9" s="213"/>
      <c r="B9" s="82" t="s">
        <v>230</v>
      </c>
      <c r="C9" s="69"/>
      <c r="D9" s="69">
        <v>10</v>
      </c>
      <c r="E9" s="69">
        <v>30</v>
      </c>
      <c r="F9" s="69">
        <v>70</v>
      </c>
      <c r="G9" s="69">
        <v>100</v>
      </c>
      <c r="H9" s="213"/>
      <c r="I9" s="213"/>
      <c r="J9" s="213"/>
      <c r="K9" s="246"/>
      <c r="L9" s="216"/>
      <c r="M9" s="216"/>
      <c r="N9" s="216"/>
      <c r="O9" s="247"/>
    </row>
    <row r="10" spans="1:15" ht="14.25" customHeight="1" x14ac:dyDescent="0.75">
      <c r="A10" s="398" t="s">
        <v>12</v>
      </c>
      <c r="B10" s="210"/>
      <c r="C10" s="210"/>
      <c r="D10" s="210"/>
      <c r="E10" s="210"/>
      <c r="F10" s="210"/>
      <c r="G10" s="211"/>
      <c r="H10" s="395" t="s">
        <v>17</v>
      </c>
      <c r="I10" s="210"/>
      <c r="J10" s="210"/>
      <c r="K10" s="210"/>
      <c r="L10" s="210"/>
      <c r="M10" s="210"/>
      <c r="N10" s="210"/>
      <c r="O10" s="211"/>
    </row>
    <row r="11" spans="1:15" ht="15.75" customHeight="1" x14ac:dyDescent="0.75">
      <c r="A11" s="397" t="s">
        <v>16</v>
      </c>
      <c r="B11" s="210"/>
      <c r="C11" s="210"/>
      <c r="D11" s="210"/>
      <c r="E11" s="210"/>
      <c r="F11" s="210"/>
      <c r="G11" s="211"/>
      <c r="H11" s="395" t="s">
        <v>109</v>
      </c>
      <c r="I11" s="210"/>
      <c r="J11" s="210"/>
      <c r="K11" s="210"/>
      <c r="L11" s="210"/>
      <c r="M11" s="210"/>
      <c r="N11" s="210"/>
      <c r="O11" s="211"/>
    </row>
    <row r="12" spans="1:15" ht="29.5" customHeight="1" x14ac:dyDescent="0.75">
      <c r="A12" s="250" t="s">
        <v>416</v>
      </c>
      <c r="B12" s="211"/>
      <c r="C12" s="65"/>
      <c r="D12" s="252" t="str">
        <f>A3</f>
        <v>IR2.2.4</v>
      </c>
      <c r="E12" s="210"/>
      <c r="F12" s="210"/>
      <c r="G12" s="211"/>
      <c r="H12" s="382" t="s">
        <v>503</v>
      </c>
      <c r="I12" s="210"/>
      <c r="J12" s="210"/>
      <c r="K12" s="210"/>
      <c r="L12" s="210"/>
      <c r="M12" s="210"/>
      <c r="N12" s="210"/>
      <c r="O12" s="211"/>
    </row>
    <row r="13" spans="1:15" ht="14.25" customHeight="1" x14ac:dyDescent="0.75">
      <c r="A13" s="268" t="s">
        <v>504</v>
      </c>
      <c r="B13" s="242"/>
      <c r="C13" s="242"/>
      <c r="D13" s="242"/>
      <c r="E13" s="242"/>
      <c r="F13" s="242"/>
      <c r="G13" s="243"/>
      <c r="H13" s="240" t="s">
        <v>235</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t="s">
        <v>238</v>
      </c>
      <c r="M14" s="240" t="s">
        <v>272</v>
      </c>
      <c r="N14" s="210"/>
      <c r="O14" s="211"/>
    </row>
    <row r="15" spans="1:15" ht="15.75" customHeight="1" x14ac:dyDescent="0.75">
      <c r="A15" s="244"/>
      <c r="B15" s="207"/>
      <c r="C15" s="207"/>
      <c r="D15" s="207"/>
      <c r="E15" s="207"/>
      <c r="F15" s="207"/>
      <c r="G15" s="245"/>
      <c r="H15" s="240" t="s">
        <v>240</v>
      </c>
      <c r="I15" s="211"/>
      <c r="J15" s="241"/>
      <c r="K15" s="211"/>
      <c r="L15" s="53" t="str">
        <f>IFERROR(M15/J15,"")</f>
        <v/>
      </c>
      <c r="M15" s="252">
        <f>C9</f>
        <v>0</v>
      </c>
      <c r="N15" s="210"/>
      <c r="O15" s="211"/>
    </row>
    <row r="16" spans="1:15" ht="15.75" customHeight="1" x14ac:dyDescent="0.75">
      <c r="A16" s="244"/>
      <c r="B16" s="207"/>
      <c r="C16" s="207"/>
      <c r="D16" s="207"/>
      <c r="E16" s="207"/>
      <c r="F16" s="207"/>
      <c r="G16" s="245"/>
      <c r="H16" s="240">
        <v>2024</v>
      </c>
      <c r="I16" s="211"/>
      <c r="J16" s="372"/>
      <c r="K16" s="211"/>
      <c r="L16" s="53" t="str">
        <f>IFERROR(M16/J16,"")</f>
        <v/>
      </c>
      <c r="M16" s="372">
        <f>D9</f>
        <v>10</v>
      </c>
      <c r="N16" s="210"/>
      <c r="O16" s="211"/>
    </row>
    <row r="17" spans="1:15" ht="15.75" customHeight="1" x14ac:dyDescent="0.75">
      <c r="A17" s="244"/>
      <c r="B17" s="207"/>
      <c r="C17" s="207"/>
      <c r="D17" s="207"/>
      <c r="E17" s="207"/>
      <c r="F17" s="207"/>
      <c r="G17" s="245"/>
      <c r="H17" s="240">
        <v>2025</v>
      </c>
      <c r="I17" s="211"/>
      <c r="J17" s="372"/>
      <c r="K17" s="211"/>
      <c r="L17" s="53" t="str">
        <f>IFERROR(M17/J17,"")</f>
        <v/>
      </c>
      <c r="M17" s="372">
        <f>E9</f>
        <v>30</v>
      </c>
      <c r="N17" s="210"/>
      <c r="O17" s="211"/>
    </row>
    <row r="18" spans="1:15" ht="15.75" customHeight="1" x14ac:dyDescent="0.75">
      <c r="A18" s="244"/>
      <c r="B18" s="207"/>
      <c r="C18" s="207"/>
      <c r="D18" s="207"/>
      <c r="E18" s="207"/>
      <c r="F18" s="207"/>
      <c r="G18" s="245"/>
      <c r="H18" s="240">
        <v>2026</v>
      </c>
      <c r="I18" s="211"/>
      <c r="J18" s="372"/>
      <c r="K18" s="211"/>
      <c r="L18" s="53" t="str">
        <f>IFERROR(M18/J18,"")</f>
        <v/>
      </c>
      <c r="M18" s="372">
        <f>F9</f>
        <v>70</v>
      </c>
      <c r="N18" s="210"/>
      <c r="O18" s="211"/>
    </row>
    <row r="19" spans="1:15" ht="15.75" customHeight="1" x14ac:dyDescent="0.75">
      <c r="A19" s="246"/>
      <c r="B19" s="216"/>
      <c r="C19" s="216"/>
      <c r="D19" s="216"/>
      <c r="E19" s="216"/>
      <c r="F19" s="216"/>
      <c r="G19" s="247"/>
      <c r="H19" s="240">
        <v>2027</v>
      </c>
      <c r="I19" s="211"/>
      <c r="J19" s="372"/>
      <c r="K19" s="211"/>
      <c r="L19" s="53" t="str">
        <f>IFERROR(M19/J19,"")</f>
        <v/>
      </c>
      <c r="M19" s="372">
        <f>G9</f>
        <v>100</v>
      </c>
      <c r="N19" s="210"/>
      <c r="O19" s="211"/>
    </row>
    <row r="20" spans="1:15" ht="14.25" customHeight="1" x14ac:dyDescent="0.75">
      <c r="A20" s="378" t="s">
        <v>241</v>
      </c>
      <c r="B20" s="211"/>
      <c r="C20" s="373" t="s">
        <v>567</v>
      </c>
      <c r="D20" s="210"/>
      <c r="E20" s="210"/>
      <c r="F20" s="210"/>
      <c r="G20" s="210"/>
      <c r="H20" s="210"/>
      <c r="I20" s="210"/>
      <c r="J20" s="210"/>
      <c r="K20" s="210"/>
      <c r="L20" s="210"/>
      <c r="M20" s="210"/>
      <c r="N20" s="210"/>
      <c r="O20" s="211"/>
    </row>
    <row r="21" spans="1:15" ht="13.75" customHeight="1" x14ac:dyDescent="0.75">
      <c r="A21" s="378" t="s">
        <v>242</v>
      </c>
      <c r="B21" s="211"/>
      <c r="C21" s="373" t="s">
        <v>568</v>
      </c>
      <c r="D21" s="210"/>
      <c r="E21" s="210"/>
      <c r="F21" s="210"/>
      <c r="G21" s="210"/>
      <c r="H21" s="210"/>
      <c r="I21" s="210"/>
      <c r="J21" s="210"/>
      <c r="K21" s="210"/>
      <c r="L21" s="210"/>
      <c r="M21" s="210"/>
      <c r="N21" s="210"/>
      <c r="O21" s="211"/>
    </row>
    <row r="22" spans="1:15" ht="14.25" customHeight="1" x14ac:dyDescent="0.75">
      <c r="A22" s="378" t="s">
        <v>243</v>
      </c>
      <c r="B22" s="211"/>
      <c r="C22" s="373" t="s">
        <v>505</v>
      </c>
      <c r="D22" s="210"/>
      <c r="E22" s="210"/>
      <c r="F22" s="210"/>
      <c r="G22" s="210"/>
      <c r="H22" s="210"/>
      <c r="I22" s="210"/>
      <c r="J22" s="210"/>
      <c r="K22" s="210"/>
      <c r="L22" s="210"/>
      <c r="M22" s="210"/>
      <c r="N22" s="210"/>
      <c r="O22" s="211"/>
    </row>
    <row r="23" spans="1:15" ht="14.25" customHeight="1" x14ac:dyDescent="0.75">
      <c r="A23" s="378" t="s">
        <v>276</v>
      </c>
      <c r="B23" s="211"/>
      <c r="C23" s="373" t="s">
        <v>499</v>
      </c>
      <c r="D23" s="210"/>
      <c r="E23" s="210"/>
      <c r="F23" s="210"/>
      <c r="G23" s="210"/>
      <c r="H23" s="210"/>
      <c r="I23" s="210"/>
      <c r="J23" s="210"/>
      <c r="K23" s="210"/>
      <c r="L23" s="210"/>
      <c r="M23" s="210"/>
      <c r="N23" s="210"/>
      <c r="O23" s="211"/>
    </row>
    <row r="24" spans="1:15" ht="15" customHeight="1" x14ac:dyDescent="0.75">
      <c r="A24" s="72" t="s">
        <v>278</v>
      </c>
      <c r="B24" s="73"/>
      <c r="C24" s="380" t="s">
        <v>569</v>
      </c>
      <c r="D24" s="210"/>
      <c r="E24" s="210"/>
      <c r="F24" s="210"/>
      <c r="G24" s="210"/>
      <c r="H24" s="210"/>
      <c r="I24" s="210"/>
      <c r="J24" s="210"/>
      <c r="K24" s="210"/>
      <c r="L24" s="210"/>
      <c r="M24" s="210"/>
      <c r="N24" s="210"/>
      <c r="O24" s="211"/>
    </row>
    <row r="25" spans="1:15" ht="15" customHeight="1" x14ac:dyDescent="0.75">
      <c r="A25" s="72" t="s">
        <v>306</v>
      </c>
      <c r="B25" s="73"/>
      <c r="C25" s="74" t="s">
        <v>570</v>
      </c>
      <c r="D25" s="75"/>
      <c r="E25" s="75"/>
      <c r="F25" s="75"/>
      <c r="G25" s="75"/>
      <c r="H25" s="75"/>
      <c r="I25" s="75"/>
      <c r="J25" s="75"/>
      <c r="K25" s="75"/>
      <c r="L25" s="75"/>
      <c r="M25" s="75"/>
      <c r="N25" s="75"/>
      <c r="O25" s="76"/>
    </row>
    <row r="26" spans="1:15" ht="15" customHeight="1" x14ac:dyDescent="0.75">
      <c r="A26" s="72" t="s">
        <v>251</v>
      </c>
      <c r="B26" s="73"/>
      <c r="C26" s="74" t="s">
        <v>571</v>
      </c>
      <c r="D26" s="75"/>
      <c r="E26" s="75"/>
      <c r="F26" s="75"/>
      <c r="G26" s="75"/>
      <c r="H26" s="75"/>
      <c r="I26" s="75"/>
      <c r="J26" s="75"/>
      <c r="K26" s="75"/>
      <c r="L26" s="75"/>
      <c r="M26" s="75"/>
      <c r="N26" s="75"/>
      <c r="O26" s="76"/>
    </row>
    <row r="27" spans="1:15" ht="15" customHeight="1" x14ac:dyDescent="0.75">
      <c r="A27" s="72" t="s">
        <v>253</v>
      </c>
      <c r="B27" s="73"/>
      <c r="C27" s="74" t="s">
        <v>572</v>
      </c>
      <c r="D27" s="75"/>
      <c r="E27" s="75"/>
      <c r="F27" s="75"/>
      <c r="G27" s="75"/>
      <c r="H27" s="75"/>
      <c r="I27" s="75"/>
      <c r="J27" s="75"/>
      <c r="K27" s="75"/>
      <c r="L27" s="75"/>
      <c r="M27" s="75"/>
      <c r="N27" s="75"/>
      <c r="O27" s="76"/>
    </row>
    <row r="28" spans="1:15" ht="15" customHeight="1" x14ac:dyDescent="0.75">
      <c r="A28" s="72" t="s">
        <v>283</v>
      </c>
      <c r="B28" s="73"/>
      <c r="C28" s="376" t="s">
        <v>506</v>
      </c>
      <c r="D28" s="210"/>
      <c r="E28" s="210"/>
      <c r="F28" s="210"/>
      <c r="G28" s="210"/>
      <c r="H28" s="210"/>
      <c r="I28" s="210"/>
      <c r="J28" s="210"/>
      <c r="K28" s="210"/>
      <c r="L28" s="210"/>
      <c r="M28" s="210"/>
      <c r="N28" s="210"/>
      <c r="O28" s="211"/>
    </row>
    <row r="29" spans="1:15" ht="14.25" customHeight="1" x14ac:dyDescent="0.75">
      <c r="A29" s="381" t="s">
        <v>334</v>
      </c>
      <c r="B29" s="211"/>
      <c r="C29" s="373" t="s">
        <v>507</v>
      </c>
      <c r="D29" s="210"/>
      <c r="E29" s="210"/>
      <c r="F29" s="210"/>
      <c r="G29" s="210"/>
      <c r="H29" s="210"/>
      <c r="I29" s="210"/>
      <c r="J29" s="210"/>
      <c r="K29" s="210"/>
      <c r="L29" s="210"/>
      <c r="M29" s="210"/>
      <c r="N29" s="210"/>
      <c r="O29" s="211"/>
    </row>
    <row r="30" spans="1:15" ht="15" customHeight="1" x14ac:dyDescent="0.75">
      <c r="A30" s="371" t="s">
        <v>258</v>
      </c>
      <c r="B30" s="211"/>
      <c r="C30" s="376" t="s">
        <v>356</v>
      </c>
      <c r="D30" s="210"/>
      <c r="E30" s="210"/>
      <c r="F30" s="210"/>
      <c r="G30" s="210"/>
      <c r="H30" s="210"/>
      <c r="I30" s="210"/>
      <c r="J30" s="210"/>
      <c r="K30" s="210"/>
      <c r="L30" s="210"/>
      <c r="M30" s="210"/>
      <c r="N30" s="210"/>
      <c r="O30" s="211"/>
    </row>
    <row r="31" spans="1:15" ht="14.25" customHeight="1" x14ac:dyDescent="0.75">
      <c r="A31" s="378" t="s">
        <v>259</v>
      </c>
      <c r="B31" s="211"/>
      <c r="C31" s="384" t="s">
        <v>573</v>
      </c>
      <c r="D31" s="210"/>
      <c r="E31" s="210"/>
      <c r="F31" s="210"/>
      <c r="G31" s="210"/>
      <c r="H31" s="210"/>
      <c r="I31" s="210"/>
      <c r="J31" s="210"/>
      <c r="K31" s="210"/>
      <c r="L31" s="210"/>
      <c r="M31" s="210"/>
      <c r="N31" s="210"/>
      <c r="O31" s="211"/>
    </row>
    <row r="32" spans="1:15" ht="15" customHeight="1" x14ac:dyDescent="0.75">
      <c r="A32" s="72" t="s">
        <v>261</v>
      </c>
      <c r="B32" s="73"/>
      <c r="C32" s="376" t="s">
        <v>508</v>
      </c>
      <c r="D32" s="210"/>
      <c r="E32" s="210"/>
      <c r="F32" s="210"/>
      <c r="G32" s="210"/>
      <c r="H32" s="210"/>
      <c r="I32" s="210"/>
      <c r="J32" s="210"/>
      <c r="K32" s="210"/>
      <c r="L32" s="210"/>
      <c r="M32" s="210"/>
      <c r="N32" s="210"/>
      <c r="O32" s="211"/>
    </row>
    <row r="33" spans="1:15" ht="30" customHeight="1" x14ac:dyDescent="0.75">
      <c r="A33" s="381" t="s">
        <v>314</v>
      </c>
      <c r="B33" s="211"/>
      <c r="C33" s="271" t="s">
        <v>509</v>
      </c>
      <c r="D33" s="210"/>
      <c r="E33" s="210"/>
      <c r="F33" s="210"/>
      <c r="G33" s="210"/>
      <c r="H33" s="210"/>
      <c r="I33" s="210"/>
      <c r="J33" s="210"/>
      <c r="K33" s="210"/>
      <c r="L33" s="210"/>
      <c r="M33" s="210"/>
      <c r="N33" s="210"/>
      <c r="O33" s="211"/>
    </row>
  </sheetData>
  <mergeCells count="61">
    <mergeCell ref="A1:O1"/>
    <mergeCell ref="J18:K18"/>
    <mergeCell ref="C21:O21"/>
    <mergeCell ref="H14:I14"/>
    <mergeCell ref="A31:B31"/>
    <mergeCell ref="J17:K17"/>
    <mergeCell ref="H12:O12"/>
    <mergeCell ref="C22:O22"/>
    <mergeCell ref="A29:B29"/>
    <mergeCell ref="C31:O31"/>
    <mergeCell ref="C3:C4"/>
    <mergeCell ref="H15:I15"/>
    <mergeCell ref="H18:I18"/>
    <mergeCell ref="H2:J2"/>
    <mergeCell ref="M16:O16"/>
    <mergeCell ref="I3:I4"/>
    <mergeCell ref="C33:O33"/>
    <mergeCell ref="A11:G11"/>
    <mergeCell ref="C24:O24"/>
    <mergeCell ref="H17:I17"/>
    <mergeCell ref="M14:O14"/>
    <mergeCell ref="A12:B12"/>
    <mergeCell ref="A21:B21"/>
    <mergeCell ref="M19:O19"/>
    <mergeCell ref="H16:I16"/>
    <mergeCell ref="H11:O11"/>
    <mergeCell ref="A33:B33"/>
    <mergeCell ref="J16:K16"/>
    <mergeCell ref="C20:O20"/>
    <mergeCell ref="H19:I19"/>
    <mergeCell ref="C29:O29"/>
    <mergeCell ref="A23:B23"/>
    <mergeCell ref="J3:J4"/>
    <mergeCell ref="C32:O32"/>
    <mergeCell ref="A10:G10"/>
    <mergeCell ref="M15:O15"/>
    <mergeCell ref="C28:O28"/>
    <mergeCell ref="A13:G19"/>
    <mergeCell ref="M18:O18"/>
    <mergeCell ref="J15:K15"/>
    <mergeCell ref="M17:O17"/>
    <mergeCell ref="C30:O30"/>
    <mergeCell ref="H13:O13"/>
    <mergeCell ref="A22:B22"/>
    <mergeCell ref="A20:B20"/>
    <mergeCell ref="J5:J9"/>
    <mergeCell ref="C2:G2"/>
    <mergeCell ref="K2:O2"/>
    <mergeCell ref="H3:H4"/>
    <mergeCell ref="A30:B30"/>
    <mergeCell ref="D3:G3"/>
    <mergeCell ref="I5:I9"/>
    <mergeCell ref="D12:G12"/>
    <mergeCell ref="C23:O23"/>
    <mergeCell ref="A3:A9"/>
    <mergeCell ref="J14:K14"/>
    <mergeCell ref="B3:B4"/>
    <mergeCell ref="K3:O9"/>
    <mergeCell ref="J19:K19"/>
    <mergeCell ref="H10:O10"/>
    <mergeCell ref="H5:H9"/>
  </mergeCells>
  <pageMargins left="0.7" right="0.7" top="0.75" bottom="0.75" header="0.511811023622047" footer="0.511811023622047"/>
  <pageSetup paperSize="9" scale="50"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opLeftCell="A8" zoomScale="70" zoomScaleNormal="70" workbookViewId="0">
      <selection activeCell="A29" sqref="A29:B29"/>
    </sheetView>
  </sheetViews>
  <sheetFormatPr baseColWidth="10" defaultColWidth="11.453125" defaultRowHeight="14.75" x14ac:dyDescent="0.75"/>
  <cols>
    <col min="2" max="2" width="25.76953125" style="124" customWidth="1"/>
    <col min="4" max="4" width="7.2265625" style="124" customWidth="1"/>
    <col min="5" max="7" width="8.2265625" style="124" customWidth="1"/>
    <col min="8" max="8" width="12.453125" style="124" customWidth="1"/>
    <col min="10" max="10" width="13.453125" style="124" customWidth="1"/>
    <col min="11" max="11" width="3.453125" style="124"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9" customHeight="1" x14ac:dyDescent="0.75">
      <c r="A2" s="126" t="s">
        <v>214</v>
      </c>
      <c r="B2" s="126" t="s">
        <v>215</v>
      </c>
      <c r="C2" s="261" t="s">
        <v>216</v>
      </c>
      <c r="D2" s="210"/>
      <c r="E2" s="210"/>
      <c r="F2" s="210"/>
      <c r="G2" s="211"/>
      <c r="H2" s="264" t="s">
        <v>414</v>
      </c>
      <c r="I2" s="210"/>
      <c r="J2" s="211"/>
      <c r="K2" s="261" t="s">
        <v>415</v>
      </c>
      <c r="L2" s="210"/>
      <c r="M2" s="210"/>
      <c r="N2" s="210"/>
      <c r="O2" s="211"/>
    </row>
    <row r="3" spans="1:15" ht="14.25" customHeight="1" x14ac:dyDescent="0.75">
      <c r="A3" s="369" t="s">
        <v>510</v>
      </c>
      <c r="B3" s="240"/>
      <c r="C3" s="254" t="s">
        <v>219</v>
      </c>
      <c r="D3" s="240" t="s">
        <v>220</v>
      </c>
      <c r="E3" s="210"/>
      <c r="F3" s="210"/>
      <c r="G3" s="211"/>
      <c r="H3" s="254" t="s">
        <v>38</v>
      </c>
      <c r="I3" s="254" t="s">
        <v>221</v>
      </c>
      <c r="J3" s="254" t="s">
        <v>222</v>
      </c>
      <c r="K3" s="374" t="s">
        <v>511</v>
      </c>
      <c r="L3" s="242"/>
      <c r="M3" s="242"/>
      <c r="N3" s="242"/>
      <c r="O3" s="243"/>
    </row>
    <row r="4" spans="1:15" ht="62.2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57"/>
      <c r="D5" s="57"/>
      <c r="E5" s="57"/>
      <c r="F5" s="57"/>
      <c r="G5" s="57"/>
      <c r="H5" s="262" t="s">
        <v>225</v>
      </c>
      <c r="I5" s="241" t="s">
        <v>512</v>
      </c>
      <c r="J5" s="241" t="s">
        <v>46</v>
      </c>
      <c r="K5" s="244"/>
      <c r="L5" s="207"/>
      <c r="M5" s="207"/>
      <c r="N5" s="207"/>
      <c r="O5" s="245"/>
    </row>
    <row r="6" spans="1:15" ht="15" customHeight="1" x14ac:dyDescent="0.75">
      <c r="A6" s="224"/>
      <c r="B6" s="130" t="s">
        <v>227</v>
      </c>
      <c r="C6" s="57"/>
      <c r="D6" s="57"/>
      <c r="E6" s="57"/>
      <c r="F6" s="57"/>
      <c r="G6" s="57"/>
      <c r="H6" s="224"/>
      <c r="I6" s="224"/>
      <c r="J6" s="224"/>
      <c r="K6" s="244"/>
      <c r="L6" s="207"/>
      <c r="M6" s="207"/>
      <c r="N6" s="207"/>
      <c r="O6" s="245"/>
    </row>
    <row r="7" spans="1:15" ht="15" customHeight="1" x14ac:dyDescent="0.75">
      <c r="A7" s="224"/>
      <c r="B7" s="130" t="s">
        <v>228</v>
      </c>
      <c r="C7" s="58"/>
      <c r="D7" s="58"/>
      <c r="E7" s="58"/>
      <c r="F7" s="58"/>
      <c r="G7" s="58"/>
      <c r="H7" s="224"/>
      <c r="I7" s="224"/>
      <c r="J7" s="224"/>
      <c r="K7" s="244"/>
      <c r="L7" s="207"/>
      <c r="M7" s="207"/>
      <c r="N7" s="207"/>
      <c r="O7" s="245"/>
    </row>
    <row r="8" spans="1:15" ht="15" customHeight="1" x14ac:dyDescent="0.75">
      <c r="A8" s="224"/>
      <c r="B8" s="130" t="s">
        <v>229</v>
      </c>
      <c r="C8" s="58"/>
      <c r="D8" s="58"/>
      <c r="E8" s="58"/>
      <c r="F8" s="58"/>
      <c r="G8" s="58"/>
      <c r="H8" s="224"/>
      <c r="I8" s="224"/>
      <c r="J8" s="224"/>
      <c r="K8" s="244"/>
      <c r="L8" s="207"/>
      <c r="M8" s="207"/>
      <c r="N8" s="207"/>
      <c r="O8" s="245"/>
    </row>
    <row r="9" spans="1:15" ht="15" customHeight="1" x14ac:dyDescent="0.75">
      <c r="A9" s="213"/>
      <c r="B9" s="51" t="s">
        <v>230</v>
      </c>
      <c r="C9" s="69"/>
      <c r="D9" s="70">
        <v>20000</v>
      </c>
      <c r="E9" s="70">
        <v>100000</v>
      </c>
      <c r="F9" s="70">
        <v>200000</v>
      </c>
      <c r="G9" s="70">
        <v>300000</v>
      </c>
      <c r="H9" s="213"/>
      <c r="I9" s="213"/>
      <c r="J9" s="213"/>
      <c r="K9" s="246"/>
      <c r="L9" s="216"/>
      <c r="M9" s="216"/>
      <c r="N9" s="216"/>
      <c r="O9" s="247"/>
    </row>
    <row r="10" spans="1:15" s="3" customFormat="1" ht="14.25" customHeight="1" x14ac:dyDescent="0.75">
      <c r="A10" s="398" t="s">
        <v>12</v>
      </c>
      <c r="B10" s="210"/>
      <c r="C10" s="210"/>
      <c r="D10" s="210"/>
      <c r="E10" s="210"/>
      <c r="F10" s="210"/>
      <c r="G10" s="211"/>
      <c r="H10" s="395" t="s">
        <v>17</v>
      </c>
      <c r="I10" s="210"/>
      <c r="J10" s="210"/>
      <c r="K10" s="210"/>
      <c r="L10" s="210"/>
      <c r="M10" s="210"/>
      <c r="N10" s="210"/>
      <c r="O10" s="211"/>
    </row>
    <row r="11" spans="1:15" s="3" customFormat="1" ht="15.75" customHeight="1" x14ac:dyDescent="0.75">
      <c r="A11" s="397" t="s">
        <v>16</v>
      </c>
      <c r="B11" s="210"/>
      <c r="C11" s="210"/>
      <c r="D11" s="210"/>
      <c r="E11" s="210"/>
      <c r="F11" s="210"/>
      <c r="G11" s="211"/>
      <c r="H11" s="395" t="s">
        <v>109</v>
      </c>
      <c r="I11" s="210"/>
      <c r="J11" s="210"/>
      <c r="K11" s="210"/>
      <c r="L11" s="210"/>
      <c r="M11" s="210"/>
      <c r="N11" s="210"/>
      <c r="O11" s="211"/>
    </row>
    <row r="12" spans="1:15" s="3" customFormat="1" ht="14.25" customHeight="1" x14ac:dyDescent="0.75">
      <c r="A12" s="375" t="s">
        <v>416</v>
      </c>
      <c r="B12" s="211"/>
      <c r="C12" s="71"/>
      <c r="D12" s="372" t="str">
        <f>A3</f>
        <v>IR2.2.5</v>
      </c>
      <c r="E12" s="210"/>
      <c r="F12" s="210"/>
      <c r="G12" s="211"/>
      <c r="H12" s="382" t="s">
        <v>513</v>
      </c>
      <c r="I12" s="210"/>
      <c r="J12" s="210"/>
      <c r="K12" s="210"/>
      <c r="L12" s="210"/>
      <c r="M12" s="210"/>
      <c r="N12" s="210"/>
      <c r="O12" s="211"/>
    </row>
    <row r="13" spans="1:15" ht="14.25" customHeight="1" x14ac:dyDescent="0.75">
      <c r="A13" s="268" t="s">
        <v>514</v>
      </c>
      <c r="B13" s="242"/>
      <c r="C13" s="242"/>
      <c r="D13" s="242"/>
      <c r="E13" s="242"/>
      <c r="F13" s="242"/>
      <c r="G13" s="243"/>
      <c r="H13" s="240" t="s">
        <v>235</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t="s">
        <v>238</v>
      </c>
      <c r="M14" s="240" t="s">
        <v>272</v>
      </c>
      <c r="N14" s="210"/>
      <c r="O14" s="211"/>
    </row>
    <row r="15" spans="1:15" ht="15.75" customHeight="1" x14ac:dyDescent="0.75">
      <c r="A15" s="244"/>
      <c r="B15" s="207"/>
      <c r="C15" s="207"/>
      <c r="D15" s="207"/>
      <c r="E15" s="207"/>
      <c r="F15" s="207"/>
      <c r="G15" s="245"/>
      <c r="H15" s="240" t="s">
        <v>240</v>
      </c>
      <c r="I15" s="211"/>
      <c r="J15" s="241"/>
      <c r="K15" s="211"/>
      <c r="L15" s="53" t="str">
        <f>IFERROR(M15/J15,"")</f>
        <v/>
      </c>
      <c r="M15" s="252">
        <f>C9</f>
        <v>0</v>
      </c>
      <c r="N15" s="210"/>
      <c r="O15" s="211"/>
    </row>
    <row r="16" spans="1:15" ht="15.75" customHeight="1" x14ac:dyDescent="0.75">
      <c r="A16" s="244"/>
      <c r="B16" s="207"/>
      <c r="C16" s="207"/>
      <c r="D16" s="207"/>
      <c r="E16" s="207"/>
      <c r="F16" s="207"/>
      <c r="G16" s="245"/>
      <c r="H16" s="240">
        <v>2024</v>
      </c>
      <c r="I16" s="211"/>
      <c r="J16" s="372"/>
      <c r="K16" s="211"/>
      <c r="L16" s="53" t="str">
        <f>IFERROR(M16/J16,"")</f>
        <v/>
      </c>
      <c r="M16" s="396">
        <f>D9</f>
        <v>20000</v>
      </c>
      <c r="N16" s="210"/>
      <c r="O16" s="211"/>
    </row>
    <row r="17" spans="1:15" ht="15.75" customHeight="1" x14ac:dyDescent="0.75">
      <c r="A17" s="244"/>
      <c r="B17" s="207"/>
      <c r="C17" s="207"/>
      <c r="D17" s="207"/>
      <c r="E17" s="207"/>
      <c r="F17" s="207"/>
      <c r="G17" s="245"/>
      <c r="H17" s="240">
        <v>2025</v>
      </c>
      <c r="I17" s="211"/>
      <c r="J17" s="372"/>
      <c r="K17" s="211"/>
      <c r="L17" s="53" t="str">
        <f>IFERROR(M17/J17,"")</f>
        <v/>
      </c>
      <c r="M17" s="396">
        <f>E9</f>
        <v>100000</v>
      </c>
      <c r="N17" s="210"/>
      <c r="O17" s="211"/>
    </row>
    <row r="18" spans="1:15" ht="15.75" customHeight="1" x14ac:dyDescent="0.75">
      <c r="A18" s="244"/>
      <c r="B18" s="207"/>
      <c r="C18" s="207"/>
      <c r="D18" s="207"/>
      <c r="E18" s="207"/>
      <c r="F18" s="207"/>
      <c r="G18" s="245"/>
      <c r="H18" s="240">
        <v>2026</v>
      </c>
      <c r="I18" s="211"/>
      <c r="J18" s="372"/>
      <c r="K18" s="211"/>
      <c r="L18" s="53" t="str">
        <f>IFERROR(M18/J18,"")</f>
        <v/>
      </c>
      <c r="M18" s="396">
        <f>F9</f>
        <v>200000</v>
      </c>
      <c r="N18" s="210"/>
      <c r="O18" s="211"/>
    </row>
    <row r="19" spans="1:15" ht="15.75" customHeight="1" x14ac:dyDescent="0.75">
      <c r="A19" s="246"/>
      <c r="B19" s="216"/>
      <c r="C19" s="216"/>
      <c r="D19" s="216"/>
      <c r="E19" s="216"/>
      <c r="F19" s="216"/>
      <c r="G19" s="247"/>
      <c r="H19" s="240">
        <v>2027</v>
      </c>
      <c r="I19" s="211"/>
      <c r="J19" s="372"/>
      <c r="K19" s="211"/>
      <c r="L19" s="53" t="str">
        <f>IFERROR(M19/J19,"")</f>
        <v/>
      </c>
      <c r="M19" s="396">
        <f>G9</f>
        <v>300000</v>
      </c>
      <c r="N19" s="210"/>
      <c r="O19" s="211"/>
    </row>
    <row r="20" spans="1:15" ht="14.25" customHeight="1" x14ac:dyDescent="0.75">
      <c r="A20" s="378" t="s">
        <v>241</v>
      </c>
      <c r="B20" s="211"/>
      <c r="C20" s="373" t="s">
        <v>574</v>
      </c>
      <c r="D20" s="210"/>
      <c r="E20" s="210"/>
      <c r="F20" s="210"/>
      <c r="G20" s="210"/>
      <c r="H20" s="210"/>
      <c r="I20" s="210"/>
      <c r="J20" s="210"/>
      <c r="K20" s="210"/>
      <c r="L20" s="210"/>
      <c r="M20" s="210"/>
      <c r="N20" s="210"/>
      <c r="O20" s="211"/>
    </row>
    <row r="21" spans="1:15" ht="14.25" customHeight="1" x14ac:dyDescent="0.75">
      <c r="A21" s="378" t="s">
        <v>242</v>
      </c>
      <c r="B21" s="211"/>
      <c r="C21" s="373" t="s">
        <v>575</v>
      </c>
      <c r="D21" s="210"/>
      <c r="E21" s="210"/>
      <c r="F21" s="210"/>
      <c r="G21" s="210"/>
      <c r="H21" s="210"/>
      <c r="I21" s="210"/>
      <c r="J21" s="210"/>
      <c r="K21" s="210"/>
      <c r="L21" s="210"/>
      <c r="M21" s="210"/>
      <c r="N21" s="210"/>
      <c r="O21" s="211"/>
    </row>
    <row r="22" spans="1:15" ht="14.25" customHeight="1" x14ac:dyDescent="0.75">
      <c r="A22" s="378" t="s">
        <v>243</v>
      </c>
      <c r="B22" s="211"/>
      <c r="C22" s="373" t="s">
        <v>576</v>
      </c>
      <c r="D22" s="210"/>
      <c r="E22" s="210"/>
      <c r="F22" s="210"/>
      <c r="G22" s="210"/>
      <c r="H22" s="210"/>
      <c r="I22" s="210"/>
      <c r="J22" s="210"/>
      <c r="K22" s="210"/>
      <c r="L22" s="210"/>
      <c r="M22" s="210"/>
      <c r="N22" s="210"/>
      <c r="O22" s="211"/>
    </row>
    <row r="23" spans="1:15" ht="14.25" customHeight="1" x14ac:dyDescent="0.75">
      <c r="A23" s="378" t="s">
        <v>276</v>
      </c>
      <c r="B23" s="211"/>
      <c r="C23" s="383" t="s">
        <v>577</v>
      </c>
      <c r="D23" s="210"/>
      <c r="E23" s="210"/>
      <c r="F23" s="210"/>
      <c r="G23" s="210"/>
      <c r="H23" s="210"/>
      <c r="I23" s="210"/>
      <c r="J23" s="210"/>
      <c r="K23" s="210"/>
      <c r="L23" s="210"/>
      <c r="M23" s="210"/>
      <c r="N23" s="210"/>
      <c r="O23" s="211"/>
    </row>
    <row r="24" spans="1:15" ht="15" customHeight="1" x14ac:dyDescent="0.75">
      <c r="A24" s="72" t="s">
        <v>278</v>
      </c>
      <c r="B24" s="73"/>
      <c r="C24" s="380" t="s">
        <v>578</v>
      </c>
      <c r="D24" s="210"/>
      <c r="E24" s="210"/>
      <c r="F24" s="210"/>
      <c r="G24" s="210"/>
      <c r="H24" s="210"/>
      <c r="I24" s="210"/>
      <c r="J24" s="210"/>
      <c r="K24" s="210"/>
      <c r="L24" s="210"/>
      <c r="M24" s="210"/>
      <c r="N24" s="210"/>
      <c r="O24" s="211"/>
    </row>
    <row r="25" spans="1:15" ht="15" customHeight="1" x14ac:dyDescent="0.75">
      <c r="A25" s="72" t="s">
        <v>306</v>
      </c>
      <c r="B25" s="73"/>
      <c r="C25" s="74" t="s">
        <v>280</v>
      </c>
      <c r="D25" s="75"/>
      <c r="E25" s="75"/>
      <c r="F25" s="75"/>
      <c r="G25" s="75"/>
      <c r="H25" s="75"/>
      <c r="I25" s="75"/>
      <c r="J25" s="75"/>
      <c r="K25" s="75"/>
      <c r="L25" s="75"/>
      <c r="M25" s="75"/>
      <c r="N25" s="75"/>
      <c r="O25" s="76"/>
    </row>
    <row r="26" spans="1:15" ht="15" customHeight="1" x14ac:dyDescent="0.75">
      <c r="A26" s="72" t="s">
        <v>251</v>
      </c>
      <c r="B26" s="73"/>
      <c r="C26" s="74" t="s">
        <v>230</v>
      </c>
      <c r="D26" s="75"/>
      <c r="E26" s="75"/>
      <c r="F26" s="75"/>
      <c r="G26" s="75"/>
      <c r="H26" s="75"/>
      <c r="I26" s="75"/>
      <c r="J26" s="75"/>
      <c r="K26" s="75"/>
      <c r="L26" s="75"/>
      <c r="M26" s="75"/>
      <c r="N26" s="75"/>
      <c r="O26" s="76"/>
    </row>
    <row r="27" spans="1:15" ht="15" customHeight="1" x14ac:dyDescent="0.75">
      <c r="A27" s="72" t="s">
        <v>253</v>
      </c>
      <c r="B27" s="73"/>
      <c r="C27" s="74" t="s">
        <v>282</v>
      </c>
      <c r="D27" s="75"/>
      <c r="E27" s="75"/>
      <c r="F27" s="75"/>
      <c r="G27" s="75"/>
      <c r="H27" s="75"/>
      <c r="I27" s="75"/>
      <c r="J27" s="75"/>
      <c r="K27" s="75"/>
      <c r="L27" s="75"/>
      <c r="M27" s="75"/>
      <c r="N27" s="75"/>
      <c r="O27" s="76"/>
    </row>
    <row r="28" spans="1:15" ht="15" customHeight="1" x14ac:dyDescent="0.75">
      <c r="A28" s="72" t="s">
        <v>283</v>
      </c>
      <c r="B28" s="73"/>
      <c r="C28" s="376" t="s">
        <v>579</v>
      </c>
      <c r="D28" s="210"/>
      <c r="E28" s="210"/>
      <c r="F28" s="210"/>
      <c r="G28" s="210"/>
      <c r="H28" s="210"/>
      <c r="I28" s="210"/>
      <c r="J28" s="210"/>
      <c r="K28" s="210"/>
      <c r="L28" s="210"/>
      <c r="M28" s="210"/>
      <c r="N28" s="210"/>
      <c r="O28" s="211"/>
    </row>
    <row r="29" spans="1:15" ht="14.25" customHeight="1" x14ac:dyDescent="0.75">
      <c r="A29" s="381" t="s">
        <v>334</v>
      </c>
      <c r="B29" s="211"/>
      <c r="C29" s="373" t="s">
        <v>588</v>
      </c>
      <c r="D29" s="210"/>
      <c r="E29" s="210"/>
      <c r="F29" s="210"/>
      <c r="G29" s="210"/>
      <c r="H29" s="210"/>
      <c r="I29" s="210"/>
      <c r="J29" s="210"/>
      <c r="K29" s="210"/>
      <c r="L29" s="210"/>
      <c r="M29" s="210"/>
      <c r="N29" s="210"/>
      <c r="O29" s="211"/>
    </row>
    <row r="30" spans="1:15" ht="15" customHeight="1" x14ac:dyDescent="0.75">
      <c r="A30" s="371" t="s">
        <v>258</v>
      </c>
      <c r="B30" s="211"/>
      <c r="C30" s="376" t="s">
        <v>225</v>
      </c>
      <c r="D30" s="210"/>
      <c r="E30" s="210"/>
      <c r="F30" s="210"/>
      <c r="G30" s="210"/>
      <c r="H30" s="210"/>
      <c r="I30" s="210"/>
      <c r="J30" s="210"/>
      <c r="K30" s="210"/>
      <c r="L30" s="210"/>
      <c r="M30" s="210"/>
      <c r="N30" s="210"/>
      <c r="O30" s="211"/>
    </row>
    <row r="31" spans="1:15" ht="14.25" customHeight="1" x14ac:dyDescent="0.75">
      <c r="A31" s="378" t="s">
        <v>259</v>
      </c>
      <c r="B31" s="211"/>
      <c r="C31" s="384" t="s">
        <v>580</v>
      </c>
      <c r="D31" s="210"/>
      <c r="E31" s="210"/>
      <c r="F31" s="210"/>
      <c r="G31" s="210"/>
      <c r="H31" s="210"/>
      <c r="I31" s="210"/>
      <c r="J31" s="210"/>
      <c r="K31" s="210"/>
      <c r="L31" s="210"/>
      <c r="M31" s="210"/>
      <c r="N31" s="210"/>
      <c r="O31" s="211"/>
    </row>
    <row r="32" spans="1:15" ht="15" customHeight="1" x14ac:dyDescent="0.75">
      <c r="A32" s="72" t="s">
        <v>261</v>
      </c>
      <c r="B32" s="73"/>
      <c r="C32" s="376" t="s">
        <v>491</v>
      </c>
      <c r="D32" s="210"/>
      <c r="E32" s="210"/>
      <c r="F32" s="210"/>
      <c r="G32" s="210"/>
      <c r="H32" s="210"/>
      <c r="I32" s="210"/>
      <c r="J32" s="210"/>
      <c r="K32" s="210"/>
      <c r="L32" s="210"/>
      <c r="M32" s="210"/>
      <c r="N32" s="210"/>
      <c r="O32" s="211"/>
    </row>
    <row r="33" spans="1:15" ht="39" customHeight="1" x14ac:dyDescent="0.75">
      <c r="A33" s="381" t="s">
        <v>314</v>
      </c>
      <c r="B33" s="211"/>
      <c r="C33" s="271" t="s">
        <v>492</v>
      </c>
      <c r="D33" s="210"/>
      <c r="E33" s="210"/>
      <c r="F33" s="210"/>
      <c r="G33" s="210"/>
      <c r="H33" s="210"/>
      <c r="I33" s="210"/>
      <c r="J33" s="210"/>
      <c r="K33" s="210"/>
      <c r="L33" s="210"/>
      <c r="M33" s="210"/>
      <c r="N33" s="210"/>
      <c r="O33" s="211"/>
    </row>
  </sheetData>
  <mergeCells count="61">
    <mergeCell ref="A1:O1"/>
    <mergeCell ref="J18:K18"/>
    <mergeCell ref="C21:O21"/>
    <mergeCell ref="H14:I14"/>
    <mergeCell ref="A31:B31"/>
    <mergeCell ref="J17:K17"/>
    <mergeCell ref="H12:O12"/>
    <mergeCell ref="C22:O22"/>
    <mergeCell ref="A29:B29"/>
    <mergeCell ref="C31:O31"/>
    <mergeCell ref="C3:C4"/>
    <mergeCell ref="H15:I15"/>
    <mergeCell ref="H18:I18"/>
    <mergeCell ref="H2:J2"/>
    <mergeCell ref="M16:O16"/>
    <mergeCell ref="I3:I4"/>
    <mergeCell ref="C33:O33"/>
    <mergeCell ref="A11:G11"/>
    <mergeCell ref="C24:O24"/>
    <mergeCell ref="H17:I17"/>
    <mergeCell ref="M14:O14"/>
    <mergeCell ref="A12:B12"/>
    <mergeCell ref="A21:B21"/>
    <mergeCell ref="M19:O19"/>
    <mergeCell ref="H16:I16"/>
    <mergeCell ref="H11:O11"/>
    <mergeCell ref="A33:B33"/>
    <mergeCell ref="J16:K16"/>
    <mergeCell ref="C20:O20"/>
    <mergeCell ref="H19:I19"/>
    <mergeCell ref="C29:O29"/>
    <mergeCell ref="A23:B23"/>
    <mergeCell ref="J3:J4"/>
    <mergeCell ref="C32:O32"/>
    <mergeCell ref="A10:G10"/>
    <mergeCell ref="M15:O15"/>
    <mergeCell ref="C28:O28"/>
    <mergeCell ref="A13:G19"/>
    <mergeCell ref="M18:O18"/>
    <mergeCell ref="J15:K15"/>
    <mergeCell ref="M17:O17"/>
    <mergeCell ref="C30:O30"/>
    <mergeCell ref="H13:O13"/>
    <mergeCell ref="A22:B22"/>
    <mergeCell ref="A20:B20"/>
    <mergeCell ref="J5:J9"/>
    <mergeCell ref="C2:G2"/>
    <mergeCell ref="K2:O2"/>
    <mergeCell ref="H3:H4"/>
    <mergeCell ref="A30:B30"/>
    <mergeCell ref="D3:G3"/>
    <mergeCell ref="I5:I9"/>
    <mergeCell ref="D12:G12"/>
    <mergeCell ref="C23:O23"/>
    <mergeCell ref="A3:A9"/>
    <mergeCell ref="J14:K14"/>
    <mergeCell ref="B3:B4"/>
    <mergeCell ref="K3:O9"/>
    <mergeCell ref="J19:K19"/>
    <mergeCell ref="H10:O10"/>
    <mergeCell ref="H5:H9"/>
  </mergeCells>
  <pageMargins left="0.7" right="0.7" top="0.75" bottom="0.75" header="0.511811023622047" footer="0.511811023622047"/>
  <pageSetup paperSize="9" scale="50"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opLeftCell="A15" zoomScale="70" zoomScaleNormal="70" workbookViewId="0">
      <selection activeCell="G27" sqref="G27"/>
    </sheetView>
  </sheetViews>
  <sheetFormatPr baseColWidth="10" defaultColWidth="8.76953125" defaultRowHeight="14.75" x14ac:dyDescent="0.75"/>
  <cols>
    <col min="1" max="1" width="35.2265625" style="124" customWidth="1"/>
    <col min="2" max="2" width="25.76953125" style="124" customWidth="1"/>
    <col min="3" max="3" width="11.54296875" customWidth="1"/>
    <col min="4" max="4" width="10" style="124" customWidth="1"/>
    <col min="8" max="8" width="12.453125" style="124" customWidth="1"/>
    <col min="9" max="9" width="16" customWidth="1"/>
    <col min="10" max="10" width="13.453125" style="124" customWidth="1"/>
    <col min="11" max="11" width="2.2265625" style="124"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9" customHeight="1" x14ac:dyDescent="0.75">
      <c r="A2" s="126" t="s">
        <v>214</v>
      </c>
      <c r="B2" s="126" t="s">
        <v>215</v>
      </c>
      <c r="C2" s="261" t="s">
        <v>216</v>
      </c>
      <c r="D2" s="210"/>
      <c r="E2" s="210"/>
      <c r="F2" s="210"/>
      <c r="G2" s="211"/>
      <c r="H2" s="264" t="s">
        <v>414</v>
      </c>
      <c r="I2" s="210"/>
      <c r="J2" s="211"/>
      <c r="K2" s="261" t="s">
        <v>415</v>
      </c>
      <c r="L2" s="210"/>
      <c r="M2" s="210"/>
      <c r="N2" s="210"/>
      <c r="O2" s="211"/>
    </row>
    <row r="3" spans="1:15" ht="14.25" customHeight="1" x14ac:dyDescent="0.75">
      <c r="A3" s="369" t="s">
        <v>139</v>
      </c>
      <c r="B3" s="240"/>
      <c r="C3" s="254" t="s">
        <v>219</v>
      </c>
      <c r="D3" s="240" t="s">
        <v>220</v>
      </c>
      <c r="E3" s="210"/>
      <c r="F3" s="210"/>
      <c r="G3" s="211"/>
      <c r="H3" s="254" t="s">
        <v>38</v>
      </c>
      <c r="I3" s="254" t="s">
        <v>221</v>
      </c>
      <c r="J3" s="254" t="s">
        <v>222</v>
      </c>
      <c r="K3" s="374"/>
      <c r="L3" s="242"/>
      <c r="M3" s="242"/>
      <c r="N3" s="242"/>
      <c r="O3" s="243"/>
    </row>
    <row r="4" spans="1:15"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66"/>
      <c r="D5" s="66"/>
      <c r="E5" s="66"/>
      <c r="F5" s="66"/>
      <c r="G5" s="66"/>
      <c r="H5" s="262" t="s">
        <v>225</v>
      </c>
      <c r="I5" s="241"/>
      <c r="J5" s="241"/>
      <c r="K5" s="244"/>
      <c r="L5" s="207"/>
      <c r="M5" s="207"/>
      <c r="N5" s="207"/>
      <c r="O5" s="245"/>
    </row>
    <row r="6" spans="1:15" ht="15" customHeight="1" x14ac:dyDescent="0.75">
      <c r="A6" s="224"/>
      <c r="B6" s="130" t="s">
        <v>227</v>
      </c>
      <c r="C6" s="66"/>
      <c r="D6" s="67"/>
      <c r="E6" s="67"/>
      <c r="F6" s="67"/>
      <c r="G6" s="67"/>
      <c r="H6" s="224"/>
      <c r="I6" s="224"/>
      <c r="J6" s="224"/>
      <c r="K6" s="244"/>
      <c r="L6" s="207"/>
      <c r="M6" s="207"/>
      <c r="N6" s="207"/>
      <c r="O6" s="245"/>
    </row>
    <row r="7" spans="1:15" ht="15" customHeight="1" x14ac:dyDescent="0.75">
      <c r="A7" s="224"/>
      <c r="B7" s="130" t="s">
        <v>228</v>
      </c>
      <c r="C7" s="68"/>
      <c r="D7" s="68"/>
      <c r="E7" s="68"/>
      <c r="F7" s="68"/>
      <c r="G7" s="68"/>
      <c r="H7" s="224"/>
      <c r="I7" s="224"/>
      <c r="J7" s="224"/>
      <c r="K7" s="244"/>
      <c r="L7" s="207"/>
      <c r="M7" s="207"/>
      <c r="N7" s="207"/>
      <c r="O7" s="245"/>
    </row>
    <row r="8" spans="1:15" ht="15" customHeight="1" x14ac:dyDescent="0.75">
      <c r="A8" s="224"/>
      <c r="B8" s="130" t="s">
        <v>229</v>
      </c>
      <c r="C8" s="68"/>
      <c r="D8" s="68"/>
      <c r="E8" s="68"/>
      <c r="F8" s="68"/>
      <c r="G8" s="68"/>
      <c r="H8" s="224"/>
      <c r="I8" s="224"/>
      <c r="J8" s="224"/>
      <c r="K8" s="244"/>
      <c r="L8" s="207"/>
      <c r="M8" s="207"/>
      <c r="N8" s="207"/>
      <c r="O8" s="245"/>
    </row>
    <row r="9" spans="1:15" x14ac:dyDescent="0.75">
      <c r="A9" s="213"/>
      <c r="B9" s="51" t="s">
        <v>230</v>
      </c>
      <c r="C9" s="69"/>
      <c r="D9" s="70"/>
      <c r="E9" s="70"/>
      <c r="F9" s="70"/>
      <c r="G9" s="70"/>
      <c r="H9" s="213"/>
      <c r="I9" s="213"/>
      <c r="J9" s="213"/>
      <c r="K9" s="246"/>
      <c r="L9" s="216"/>
      <c r="M9" s="216"/>
      <c r="N9" s="216"/>
      <c r="O9" s="247"/>
    </row>
    <row r="10" spans="1:15" ht="14.25" customHeight="1" x14ac:dyDescent="0.75">
      <c r="A10" s="398" t="s">
        <v>12</v>
      </c>
      <c r="B10" s="210"/>
      <c r="C10" s="210"/>
      <c r="D10" s="210"/>
      <c r="E10" s="210"/>
      <c r="F10" s="210"/>
      <c r="G10" s="211"/>
      <c r="H10" s="375" t="s">
        <v>17</v>
      </c>
      <c r="I10" s="210"/>
      <c r="J10" s="210"/>
      <c r="K10" s="210"/>
      <c r="L10" s="210"/>
      <c r="M10" s="210"/>
      <c r="N10" s="210"/>
      <c r="O10" s="211"/>
    </row>
    <row r="11" spans="1:15" ht="15.75" customHeight="1" x14ac:dyDescent="0.75">
      <c r="A11" s="397" t="s">
        <v>16</v>
      </c>
      <c r="B11" s="210"/>
      <c r="C11" s="210"/>
      <c r="D11" s="210"/>
      <c r="E11" s="210"/>
      <c r="F11" s="210"/>
      <c r="G11" s="211"/>
      <c r="H11" s="395" t="s">
        <v>109</v>
      </c>
      <c r="I11" s="210"/>
      <c r="J11" s="210"/>
      <c r="K11" s="210"/>
      <c r="L11" s="210"/>
      <c r="M11" s="210"/>
      <c r="N11" s="210"/>
      <c r="O11" s="211"/>
    </row>
    <row r="12" spans="1:15" ht="14.25" customHeight="1" x14ac:dyDescent="0.75">
      <c r="A12" s="375" t="s">
        <v>416</v>
      </c>
      <c r="B12" s="211"/>
      <c r="C12" s="71"/>
      <c r="D12" s="372" t="str">
        <f>A3</f>
        <v>IR2.2.6</v>
      </c>
      <c r="E12" s="210"/>
      <c r="F12" s="210"/>
      <c r="G12" s="211"/>
      <c r="H12" s="382" t="s">
        <v>140</v>
      </c>
      <c r="I12" s="210"/>
      <c r="J12" s="210"/>
      <c r="K12" s="210"/>
      <c r="L12" s="210"/>
      <c r="M12" s="210"/>
      <c r="N12" s="210"/>
      <c r="O12" s="211"/>
    </row>
    <row r="13" spans="1:15" ht="14.25" customHeight="1" x14ac:dyDescent="0.75">
      <c r="A13" s="268" t="s">
        <v>417</v>
      </c>
      <c r="B13" s="242"/>
      <c r="C13" s="242"/>
      <c r="D13" s="242"/>
      <c r="E13" s="242"/>
      <c r="F13" s="242"/>
      <c r="G13" s="243"/>
      <c r="H13" s="240" t="s">
        <v>235</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c r="M14" s="240"/>
      <c r="N14" s="210"/>
      <c r="O14" s="211"/>
    </row>
    <row r="15" spans="1:15" ht="15.75" customHeight="1" x14ac:dyDescent="0.75">
      <c r="A15" s="244"/>
      <c r="B15" s="207"/>
      <c r="C15" s="207"/>
      <c r="D15" s="207"/>
      <c r="E15" s="207"/>
      <c r="F15" s="207"/>
      <c r="G15" s="245"/>
      <c r="H15" s="240" t="s">
        <v>240</v>
      </c>
      <c r="I15" s="211"/>
      <c r="J15" s="241"/>
      <c r="K15" s="211"/>
      <c r="L15" s="53"/>
      <c r="M15" s="252"/>
      <c r="N15" s="210"/>
      <c r="O15" s="211"/>
    </row>
    <row r="16" spans="1:15" ht="15.75" customHeight="1" x14ac:dyDescent="0.75">
      <c r="A16" s="244"/>
      <c r="B16" s="207"/>
      <c r="C16" s="207"/>
      <c r="D16" s="207"/>
      <c r="E16" s="207"/>
      <c r="F16" s="207"/>
      <c r="G16" s="245"/>
      <c r="H16" s="240">
        <v>2024</v>
      </c>
      <c r="I16" s="211"/>
      <c r="J16" s="372"/>
      <c r="K16" s="211"/>
      <c r="L16" s="53"/>
      <c r="M16" s="396"/>
      <c r="N16" s="210"/>
      <c r="O16" s="211"/>
    </row>
    <row r="17" spans="1:15" ht="15.75" customHeight="1" x14ac:dyDescent="0.75">
      <c r="A17" s="244"/>
      <c r="B17" s="207"/>
      <c r="C17" s="207"/>
      <c r="D17" s="207"/>
      <c r="E17" s="207"/>
      <c r="F17" s="207"/>
      <c r="G17" s="245"/>
      <c r="H17" s="240">
        <v>2025</v>
      </c>
      <c r="I17" s="211"/>
      <c r="J17" s="372"/>
      <c r="K17" s="211"/>
      <c r="L17" s="53"/>
      <c r="M17" s="396"/>
      <c r="N17" s="210"/>
      <c r="O17" s="211"/>
    </row>
    <row r="18" spans="1:15" ht="15.75" customHeight="1" x14ac:dyDescent="0.75">
      <c r="A18" s="244"/>
      <c r="B18" s="207"/>
      <c r="C18" s="207"/>
      <c r="D18" s="207"/>
      <c r="E18" s="207"/>
      <c r="F18" s="207"/>
      <c r="G18" s="245"/>
      <c r="H18" s="240">
        <v>2026</v>
      </c>
      <c r="I18" s="211"/>
      <c r="J18" s="372"/>
      <c r="K18" s="211"/>
      <c r="L18" s="53"/>
      <c r="M18" s="396"/>
      <c r="N18" s="210"/>
      <c r="O18" s="211"/>
    </row>
    <row r="19" spans="1:15" ht="15.5" x14ac:dyDescent="0.75">
      <c r="A19" s="246"/>
      <c r="B19" s="216"/>
      <c r="C19" s="216"/>
      <c r="D19" s="216"/>
      <c r="E19" s="216"/>
      <c r="F19" s="216"/>
      <c r="G19" s="247"/>
      <c r="H19" s="240">
        <v>2027</v>
      </c>
      <c r="I19" s="211"/>
      <c r="J19" s="372"/>
      <c r="K19" s="211"/>
      <c r="L19" s="53"/>
      <c r="M19" s="396"/>
      <c r="N19" s="210"/>
      <c r="O19" s="211"/>
    </row>
    <row r="20" spans="1:15" ht="14.25" customHeight="1" x14ac:dyDescent="0.75">
      <c r="A20" s="378" t="s">
        <v>241</v>
      </c>
      <c r="B20" s="378"/>
      <c r="C20" s="172" t="s">
        <v>581</v>
      </c>
      <c r="D20" s="173"/>
      <c r="E20" s="173"/>
      <c r="F20" s="173"/>
      <c r="G20" s="173"/>
      <c r="H20" s="173"/>
      <c r="I20" s="173"/>
      <c r="J20" s="173"/>
      <c r="K20" s="173"/>
      <c r="L20" s="173"/>
      <c r="M20" s="173"/>
      <c r="N20" s="173"/>
      <c r="O20" s="172"/>
    </row>
    <row r="21" spans="1:15" ht="14.25" customHeight="1" x14ac:dyDescent="0.75">
      <c r="A21" s="171" t="s">
        <v>242</v>
      </c>
      <c r="B21" s="172"/>
      <c r="C21" s="172" t="s">
        <v>582</v>
      </c>
      <c r="D21" s="173"/>
      <c r="E21" s="173"/>
      <c r="F21" s="173"/>
      <c r="G21" s="173"/>
      <c r="H21" s="173"/>
      <c r="I21" s="173"/>
      <c r="J21" s="173"/>
      <c r="K21" s="173"/>
      <c r="L21" s="173"/>
      <c r="M21" s="173"/>
      <c r="N21" s="173"/>
      <c r="O21" s="172"/>
    </row>
    <row r="22" spans="1:15" x14ac:dyDescent="0.75">
      <c r="A22" s="378" t="s">
        <v>243</v>
      </c>
      <c r="B22" s="378"/>
      <c r="C22" s="172" t="s">
        <v>583</v>
      </c>
      <c r="D22" s="173"/>
      <c r="E22" s="173"/>
      <c r="F22" s="173"/>
      <c r="G22" s="173"/>
      <c r="H22" s="173"/>
      <c r="I22" s="173"/>
      <c r="J22" s="173"/>
      <c r="K22" s="173"/>
      <c r="L22" s="173"/>
      <c r="M22" s="173"/>
      <c r="N22" s="173"/>
      <c r="O22" s="172"/>
    </row>
    <row r="23" spans="1:15" ht="14.25" customHeight="1" x14ac:dyDescent="0.75">
      <c r="A23" s="378" t="s">
        <v>276</v>
      </c>
      <c r="B23" s="378"/>
      <c r="C23" s="172" t="s">
        <v>584</v>
      </c>
      <c r="D23" s="173"/>
      <c r="E23" s="173"/>
      <c r="F23" s="173"/>
      <c r="G23" s="173"/>
      <c r="H23" s="173"/>
      <c r="I23" s="173"/>
      <c r="J23" s="173"/>
      <c r="K23" s="173"/>
      <c r="L23" s="173"/>
      <c r="M23" s="173"/>
      <c r="N23" s="173"/>
      <c r="O23" s="172"/>
    </row>
    <row r="24" spans="1:15" ht="15" customHeight="1" x14ac:dyDescent="0.75">
      <c r="A24" s="378" t="s">
        <v>278</v>
      </c>
      <c r="B24" s="378"/>
      <c r="C24" s="174" t="s">
        <v>585</v>
      </c>
      <c r="D24" s="174"/>
      <c r="E24" s="174"/>
      <c r="F24" s="174"/>
      <c r="G24" s="174"/>
      <c r="H24" s="174"/>
      <c r="I24" s="174"/>
      <c r="J24" s="174"/>
      <c r="K24" s="174"/>
      <c r="L24" s="174"/>
      <c r="M24" s="174"/>
      <c r="N24" s="174"/>
      <c r="O24" s="175"/>
    </row>
    <row r="25" spans="1:15" ht="15" customHeight="1" x14ac:dyDescent="0.75">
      <c r="A25" s="378" t="s">
        <v>306</v>
      </c>
      <c r="B25" s="378"/>
      <c r="C25" s="174" t="s">
        <v>586</v>
      </c>
      <c r="D25" s="174"/>
      <c r="E25" s="174"/>
      <c r="F25" s="174"/>
      <c r="G25" s="174"/>
      <c r="H25" s="174"/>
      <c r="I25" s="174"/>
      <c r="J25" s="174"/>
      <c r="K25" s="174"/>
      <c r="L25" s="174"/>
      <c r="M25" s="174"/>
      <c r="N25" s="174"/>
      <c r="O25" s="175"/>
    </row>
    <row r="26" spans="1:15" ht="15" customHeight="1" x14ac:dyDescent="0.75">
      <c r="A26" s="378" t="s">
        <v>251</v>
      </c>
      <c r="B26" s="378"/>
      <c r="C26" s="174" t="s">
        <v>587</v>
      </c>
      <c r="D26" s="174"/>
      <c r="E26" s="174"/>
      <c r="F26" s="174"/>
      <c r="G26" s="174"/>
      <c r="H26" s="174"/>
      <c r="I26" s="174"/>
      <c r="J26" s="174"/>
      <c r="K26" s="174"/>
      <c r="L26" s="174"/>
      <c r="M26" s="174"/>
      <c r="N26" s="174"/>
      <c r="O26" s="175"/>
    </row>
    <row r="27" spans="1:15" ht="15" customHeight="1" x14ac:dyDescent="0.75">
      <c r="A27" s="378" t="s">
        <v>253</v>
      </c>
      <c r="B27" s="378"/>
      <c r="C27" s="174" t="s">
        <v>557</v>
      </c>
      <c r="D27" s="174"/>
      <c r="E27" s="174"/>
      <c r="F27" s="174"/>
      <c r="G27" s="174"/>
      <c r="H27" s="174"/>
      <c r="I27" s="174"/>
      <c r="J27" s="174"/>
      <c r="K27" s="174"/>
      <c r="L27" s="174"/>
      <c r="M27" s="174"/>
      <c r="N27" s="174"/>
      <c r="O27" s="175"/>
    </row>
    <row r="28" spans="1:15" ht="15.5" x14ac:dyDescent="0.75">
      <c r="A28" s="378" t="s">
        <v>283</v>
      </c>
      <c r="B28" s="378"/>
      <c r="C28" s="176" t="s">
        <v>589</v>
      </c>
      <c r="D28" s="177"/>
      <c r="E28" s="177"/>
      <c r="F28" s="177"/>
      <c r="G28" s="177"/>
      <c r="H28" s="177"/>
      <c r="I28" s="177"/>
      <c r="J28" s="177"/>
      <c r="K28" s="177"/>
      <c r="L28" s="177"/>
      <c r="M28" s="177"/>
      <c r="N28" s="177"/>
      <c r="O28" s="178"/>
    </row>
    <row r="29" spans="1:15" ht="15" customHeight="1" x14ac:dyDescent="0.75">
      <c r="A29" s="378" t="s">
        <v>334</v>
      </c>
      <c r="B29" s="378"/>
      <c r="C29" s="179" t="s">
        <v>590</v>
      </c>
      <c r="D29" s="177"/>
      <c r="E29" s="177"/>
      <c r="F29" s="177"/>
      <c r="G29" s="177"/>
      <c r="H29" s="177"/>
      <c r="I29" s="177"/>
      <c r="J29" s="177"/>
      <c r="K29" s="177"/>
      <c r="L29" s="177"/>
      <c r="M29" s="177"/>
      <c r="N29" s="177"/>
      <c r="O29" s="178"/>
    </row>
    <row r="30" spans="1:15" ht="15.5" x14ac:dyDescent="0.75">
      <c r="A30" s="378" t="s">
        <v>258</v>
      </c>
      <c r="B30" s="378"/>
      <c r="C30" s="180" t="s">
        <v>225</v>
      </c>
      <c r="D30" s="177"/>
      <c r="E30" s="177"/>
      <c r="F30" s="177"/>
      <c r="G30" s="177"/>
      <c r="H30" s="177"/>
      <c r="I30" s="177"/>
      <c r="J30" s="177"/>
      <c r="K30" s="177"/>
      <c r="L30" s="177"/>
      <c r="M30" s="177"/>
      <c r="N30" s="177"/>
      <c r="O30" s="178"/>
    </row>
    <row r="31" spans="1:15" ht="15" customHeight="1" x14ac:dyDescent="0.75">
      <c r="A31" s="378" t="s">
        <v>418</v>
      </c>
      <c r="B31" s="378"/>
      <c r="C31" s="401" t="s">
        <v>591</v>
      </c>
      <c r="D31" s="401"/>
      <c r="E31" s="401"/>
      <c r="F31" s="401"/>
      <c r="G31" s="401"/>
      <c r="H31" s="401"/>
      <c r="I31" s="401"/>
      <c r="J31" s="401"/>
      <c r="K31" s="401"/>
      <c r="L31" s="401"/>
      <c r="M31" s="401"/>
      <c r="N31" s="401"/>
      <c r="O31" s="401"/>
    </row>
    <row r="32" spans="1:15" x14ac:dyDescent="0.75">
      <c r="A32" s="378" t="s">
        <v>261</v>
      </c>
      <c r="B32" s="378"/>
      <c r="C32" s="400" t="s">
        <v>491</v>
      </c>
      <c r="D32" s="400"/>
      <c r="E32" s="400"/>
      <c r="F32" s="400"/>
      <c r="G32" s="400"/>
      <c r="H32" s="400"/>
      <c r="I32" s="400"/>
      <c r="J32" s="400"/>
      <c r="K32" s="400"/>
      <c r="L32" s="400"/>
      <c r="M32" s="400"/>
      <c r="N32" s="400"/>
      <c r="O32" s="400"/>
    </row>
    <row r="33" spans="1:15" ht="33" customHeight="1" x14ac:dyDescent="0.75">
      <c r="A33" s="378" t="s">
        <v>314</v>
      </c>
      <c r="B33" s="378"/>
      <c r="C33" s="399" t="s">
        <v>492</v>
      </c>
      <c r="D33" s="399"/>
      <c r="E33" s="399"/>
      <c r="F33" s="399"/>
      <c r="G33" s="399"/>
      <c r="H33" s="399"/>
      <c r="I33" s="399"/>
      <c r="J33" s="399"/>
      <c r="K33" s="399"/>
      <c r="L33" s="399"/>
      <c r="M33" s="399"/>
      <c r="N33" s="399"/>
      <c r="O33" s="399"/>
    </row>
  </sheetData>
  <mergeCells count="58">
    <mergeCell ref="A25:B25"/>
    <mergeCell ref="A26:B26"/>
    <mergeCell ref="A27:B27"/>
    <mergeCell ref="A28:B28"/>
    <mergeCell ref="A29:B29"/>
    <mergeCell ref="A30:B30"/>
    <mergeCell ref="A31:B31"/>
    <mergeCell ref="A32:B32"/>
    <mergeCell ref="A33:B33"/>
    <mergeCell ref="A1:O1"/>
    <mergeCell ref="H14:I14"/>
    <mergeCell ref="J17:K17"/>
    <mergeCell ref="C2:G2"/>
    <mergeCell ref="M16:O16"/>
    <mergeCell ref="I3:I4"/>
    <mergeCell ref="J5:J9"/>
    <mergeCell ref="A3:A9"/>
    <mergeCell ref="B3:B4"/>
    <mergeCell ref="K3:O9"/>
    <mergeCell ref="D3:G3"/>
    <mergeCell ref="I5:I9"/>
    <mergeCell ref="K2:O2"/>
    <mergeCell ref="H3:H4"/>
    <mergeCell ref="H5:H9"/>
    <mergeCell ref="H19:I19"/>
    <mergeCell ref="J3:J4"/>
    <mergeCell ref="H13:O13"/>
    <mergeCell ref="H12:O12"/>
    <mergeCell ref="H2:J2"/>
    <mergeCell ref="C3:C4"/>
    <mergeCell ref="H15:I15"/>
    <mergeCell ref="H18:I18"/>
    <mergeCell ref="J18:K18"/>
    <mergeCell ref="H17:I17"/>
    <mergeCell ref="A12:B12"/>
    <mergeCell ref="J14:K14"/>
    <mergeCell ref="A24:B24"/>
    <mergeCell ref="A10:G10"/>
    <mergeCell ref="M15:O15"/>
    <mergeCell ref="A13:G19"/>
    <mergeCell ref="M18:O18"/>
    <mergeCell ref="J15:K15"/>
    <mergeCell ref="M17:O17"/>
    <mergeCell ref="A11:G11"/>
    <mergeCell ref="H10:O10"/>
    <mergeCell ref="J19:K19"/>
    <mergeCell ref="A23:B23"/>
    <mergeCell ref="A22:B22"/>
    <mergeCell ref="A20:B20"/>
    <mergeCell ref="M14:O14"/>
    <mergeCell ref="C33:O33"/>
    <mergeCell ref="M19:O19"/>
    <mergeCell ref="H16:I16"/>
    <mergeCell ref="H11:O11"/>
    <mergeCell ref="J16:K16"/>
    <mergeCell ref="D12:G12"/>
    <mergeCell ref="C32:O32"/>
    <mergeCell ref="C31:O31"/>
  </mergeCell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opLeftCell="A11" zoomScale="70" zoomScaleNormal="70" workbookViewId="0">
      <selection activeCell="L15" sqref="L15:L19"/>
    </sheetView>
  </sheetViews>
  <sheetFormatPr baseColWidth="10" defaultColWidth="11.453125" defaultRowHeight="14.75" x14ac:dyDescent="0.75"/>
  <cols>
    <col min="2" max="2" width="25.76953125" style="124" customWidth="1"/>
    <col min="4" max="4" width="6.76953125" style="124" customWidth="1"/>
    <col min="5" max="5" width="6" style="124" customWidth="1"/>
    <col min="6" max="7" width="7" style="124" customWidth="1"/>
    <col min="8" max="8" width="12.453125" style="124" customWidth="1"/>
    <col min="10" max="10" width="13.453125" style="124" customWidth="1"/>
    <col min="11" max="11" width="3" style="124" customWidth="1"/>
    <col min="14" max="14" width="10.453125" style="124" customWidth="1"/>
    <col min="15" max="15" width="9.453125" style="124"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9" customHeight="1" x14ac:dyDescent="0.75">
      <c r="A2" s="126" t="s">
        <v>214</v>
      </c>
      <c r="B2" s="126" t="s">
        <v>215</v>
      </c>
      <c r="C2" s="261" t="s">
        <v>216</v>
      </c>
      <c r="D2" s="210"/>
      <c r="E2" s="210"/>
      <c r="F2" s="210"/>
      <c r="G2" s="211"/>
      <c r="H2" s="264" t="s">
        <v>414</v>
      </c>
      <c r="I2" s="210"/>
      <c r="J2" s="211"/>
      <c r="K2" s="261" t="s">
        <v>415</v>
      </c>
      <c r="L2" s="210"/>
      <c r="M2" s="210"/>
      <c r="N2" s="210"/>
      <c r="O2" s="211"/>
    </row>
    <row r="3" spans="1:15" ht="14.25" customHeight="1" x14ac:dyDescent="0.75">
      <c r="A3" s="369" t="s">
        <v>141</v>
      </c>
      <c r="B3" s="240"/>
      <c r="C3" s="254" t="s">
        <v>219</v>
      </c>
      <c r="D3" s="240" t="s">
        <v>220</v>
      </c>
      <c r="E3" s="210"/>
      <c r="F3" s="210"/>
      <c r="G3" s="211"/>
      <c r="H3" s="254" t="s">
        <v>38</v>
      </c>
      <c r="I3" s="254" t="s">
        <v>221</v>
      </c>
      <c r="J3" s="254" t="s">
        <v>222</v>
      </c>
      <c r="K3" s="374" t="s">
        <v>515</v>
      </c>
      <c r="L3" s="242"/>
      <c r="M3" s="242"/>
      <c r="N3" s="242"/>
      <c r="O3" s="243"/>
    </row>
    <row r="4" spans="1:15" ht="62.2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81" t="s">
        <v>224</v>
      </c>
      <c r="C5" s="66"/>
      <c r="D5" s="66"/>
      <c r="E5" s="66"/>
      <c r="F5" s="66"/>
      <c r="G5" s="66"/>
      <c r="H5" s="262" t="s">
        <v>356</v>
      </c>
      <c r="I5" s="241" t="s">
        <v>512</v>
      </c>
      <c r="J5" s="241" t="s">
        <v>46</v>
      </c>
      <c r="K5" s="244"/>
      <c r="L5" s="207"/>
      <c r="M5" s="207"/>
      <c r="N5" s="207"/>
      <c r="O5" s="245"/>
    </row>
    <row r="6" spans="1:15" ht="15" customHeight="1" x14ac:dyDescent="0.75">
      <c r="A6" s="224"/>
      <c r="B6" s="81" t="s">
        <v>227</v>
      </c>
      <c r="C6" s="66"/>
      <c r="D6" s="66"/>
      <c r="E6" s="66"/>
      <c r="F6" s="66"/>
      <c r="G6" s="66"/>
      <c r="H6" s="224"/>
      <c r="I6" s="224"/>
      <c r="J6" s="224"/>
      <c r="K6" s="244"/>
      <c r="L6" s="207"/>
      <c r="M6" s="207"/>
      <c r="N6" s="207"/>
      <c r="O6" s="245"/>
    </row>
    <row r="7" spans="1:15" ht="15" customHeight="1" x14ac:dyDescent="0.75">
      <c r="A7" s="224"/>
      <c r="B7" s="81" t="s">
        <v>228</v>
      </c>
      <c r="C7" s="68"/>
      <c r="D7" s="68"/>
      <c r="E7" s="68"/>
      <c r="F7" s="68"/>
      <c r="G7" s="68"/>
      <c r="H7" s="224"/>
      <c r="I7" s="224"/>
      <c r="J7" s="224"/>
      <c r="K7" s="244"/>
      <c r="L7" s="207"/>
      <c r="M7" s="207"/>
      <c r="N7" s="207"/>
      <c r="O7" s="245"/>
    </row>
    <row r="8" spans="1:15" ht="15" customHeight="1" x14ac:dyDescent="0.75">
      <c r="A8" s="224"/>
      <c r="B8" s="81" t="s">
        <v>229</v>
      </c>
      <c r="C8" s="68"/>
      <c r="D8" s="68"/>
      <c r="E8" s="68"/>
      <c r="F8" s="68"/>
      <c r="G8" s="68"/>
      <c r="H8" s="224"/>
      <c r="I8" s="224"/>
      <c r="J8" s="224"/>
      <c r="K8" s="244"/>
      <c r="L8" s="207"/>
      <c r="M8" s="207"/>
      <c r="N8" s="207"/>
      <c r="O8" s="245"/>
    </row>
    <row r="9" spans="1:15" ht="15" customHeight="1" x14ac:dyDescent="0.75">
      <c r="A9" s="213"/>
      <c r="B9" s="82" t="s">
        <v>230</v>
      </c>
      <c r="C9" s="69"/>
      <c r="D9" s="69">
        <v>50</v>
      </c>
      <c r="E9" s="69">
        <v>100</v>
      </c>
      <c r="F9" s="69">
        <v>200</v>
      </c>
      <c r="G9" s="69">
        <v>300</v>
      </c>
      <c r="H9" s="213"/>
      <c r="I9" s="213"/>
      <c r="J9" s="213"/>
      <c r="K9" s="246"/>
      <c r="L9" s="216"/>
      <c r="M9" s="216"/>
      <c r="N9" s="216"/>
      <c r="O9" s="247"/>
    </row>
    <row r="10" spans="1:15" ht="14.25" customHeight="1" x14ac:dyDescent="0.75">
      <c r="A10" s="398" t="s">
        <v>12</v>
      </c>
      <c r="B10" s="210"/>
      <c r="C10" s="210"/>
      <c r="D10" s="210"/>
      <c r="E10" s="210"/>
      <c r="F10" s="210"/>
      <c r="G10" s="211"/>
      <c r="H10" s="395" t="s">
        <v>17</v>
      </c>
      <c r="I10" s="210"/>
      <c r="J10" s="210"/>
      <c r="K10" s="210"/>
      <c r="L10" s="210"/>
      <c r="M10" s="210"/>
      <c r="N10" s="210"/>
      <c r="O10" s="211"/>
    </row>
    <row r="11" spans="1:15" ht="15.75" customHeight="1" x14ac:dyDescent="0.75">
      <c r="A11" s="397" t="s">
        <v>16</v>
      </c>
      <c r="B11" s="210"/>
      <c r="C11" s="210"/>
      <c r="D11" s="210"/>
      <c r="E11" s="210"/>
      <c r="F11" s="210"/>
      <c r="G11" s="211"/>
      <c r="H11" s="395" t="s">
        <v>109</v>
      </c>
      <c r="I11" s="210"/>
      <c r="J11" s="210"/>
      <c r="K11" s="210"/>
      <c r="L11" s="210"/>
      <c r="M11" s="210"/>
      <c r="N11" s="210"/>
      <c r="O11" s="211"/>
    </row>
    <row r="12" spans="1:15" ht="14.25" customHeight="1" x14ac:dyDescent="0.75">
      <c r="A12" s="250" t="s">
        <v>416</v>
      </c>
      <c r="B12" s="211"/>
      <c r="C12" s="65"/>
      <c r="D12" s="252" t="str">
        <f>A3</f>
        <v>IR2.2.7</v>
      </c>
      <c r="E12" s="210"/>
      <c r="F12" s="210"/>
      <c r="G12" s="211"/>
      <c r="H12" s="382" t="s">
        <v>516</v>
      </c>
      <c r="I12" s="210"/>
      <c r="J12" s="210"/>
      <c r="K12" s="210"/>
      <c r="L12" s="210"/>
      <c r="M12" s="210"/>
      <c r="N12" s="210"/>
      <c r="O12" s="211"/>
    </row>
    <row r="13" spans="1:15" ht="14.25" customHeight="1" x14ac:dyDescent="0.75">
      <c r="A13" s="268" t="s">
        <v>517</v>
      </c>
      <c r="B13" s="242"/>
      <c r="C13" s="242"/>
      <c r="D13" s="242"/>
      <c r="E13" s="242"/>
      <c r="F13" s="242"/>
      <c r="G13" s="243"/>
      <c r="H13" s="240" t="s">
        <v>235</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t="s">
        <v>238</v>
      </c>
      <c r="M14" s="240" t="s">
        <v>272</v>
      </c>
      <c r="N14" s="210"/>
      <c r="O14" s="211"/>
    </row>
    <row r="15" spans="1:15" ht="15.75" customHeight="1" x14ac:dyDescent="0.75">
      <c r="A15" s="244"/>
      <c r="B15" s="207"/>
      <c r="C15" s="207"/>
      <c r="D15" s="207"/>
      <c r="E15" s="207"/>
      <c r="F15" s="207"/>
      <c r="G15" s="245"/>
      <c r="H15" s="240" t="s">
        <v>240</v>
      </c>
      <c r="I15" s="211"/>
      <c r="J15" s="241"/>
      <c r="K15" s="211"/>
      <c r="L15" s="53" t="str">
        <f>IFERROR(M15/J15,"")</f>
        <v/>
      </c>
      <c r="M15" s="252">
        <f>C9</f>
        <v>0</v>
      </c>
      <c r="N15" s="210"/>
      <c r="O15" s="211"/>
    </row>
    <row r="16" spans="1:15" ht="15.75" customHeight="1" x14ac:dyDescent="0.75">
      <c r="A16" s="244"/>
      <c r="B16" s="207"/>
      <c r="C16" s="207"/>
      <c r="D16" s="207"/>
      <c r="E16" s="207"/>
      <c r="F16" s="207"/>
      <c r="G16" s="245"/>
      <c r="H16" s="240">
        <v>2024</v>
      </c>
      <c r="I16" s="211"/>
      <c r="J16" s="372"/>
      <c r="K16" s="211"/>
      <c r="L16" s="53" t="str">
        <f>IFERROR(M16/J16,"")</f>
        <v/>
      </c>
      <c r="M16" s="372">
        <f>D9</f>
        <v>50</v>
      </c>
      <c r="N16" s="210"/>
      <c r="O16" s="211"/>
    </row>
    <row r="17" spans="1:15" ht="15.75" customHeight="1" x14ac:dyDescent="0.75">
      <c r="A17" s="244"/>
      <c r="B17" s="207"/>
      <c r="C17" s="207"/>
      <c r="D17" s="207"/>
      <c r="E17" s="207"/>
      <c r="F17" s="207"/>
      <c r="G17" s="245"/>
      <c r="H17" s="240">
        <v>2025</v>
      </c>
      <c r="I17" s="211"/>
      <c r="J17" s="372"/>
      <c r="K17" s="211"/>
      <c r="L17" s="53" t="str">
        <f>IFERROR(M17/J17,"")</f>
        <v/>
      </c>
      <c r="M17" s="372">
        <f>E9</f>
        <v>100</v>
      </c>
      <c r="N17" s="210"/>
      <c r="O17" s="211"/>
    </row>
    <row r="18" spans="1:15" ht="15.75" customHeight="1" x14ac:dyDescent="0.75">
      <c r="A18" s="244"/>
      <c r="B18" s="207"/>
      <c r="C18" s="207"/>
      <c r="D18" s="207"/>
      <c r="E18" s="207"/>
      <c r="F18" s="207"/>
      <c r="G18" s="245"/>
      <c r="H18" s="240">
        <v>2026</v>
      </c>
      <c r="I18" s="211"/>
      <c r="J18" s="372"/>
      <c r="K18" s="211"/>
      <c r="L18" s="53" t="str">
        <f>IFERROR(M18/J18,"")</f>
        <v/>
      </c>
      <c r="M18" s="372">
        <f>F9</f>
        <v>200</v>
      </c>
      <c r="N18" s="210"/>
      <c r="O18" s="211"/>
    </row>
    <row r="19" spans="1:15" ht="15.75" customHeight="1" x14ac:dyDescent="0.75">
      <c r="A19" s="246"/>
      <c r="B19" s="216"/>
      <c r="C19" s="216"/>
      <c r="D19" s="216"/>
      <c r="E19" s="216"/>
      <c r="F19" s="216"/>
      <c r="G19" s="247"/>
      <c r="H19" s="240">
        <v>2027</v>
      </c>
      <c r="I19" s="211"/>
      <c r="J19" s="372"/>
      <c r="K19" s="211"/>
      <c r="L19" s="53" t="str">
        <f>IFERROR(M19/J19,"")</f>
        <v/>
      </c>
      <c r="M19" s="372">
        <f>G9</f>
        <v>300</v>
      </c>
      <c r="N19" s="210"/>
      <c r="O19" s="211"/>
    </row>
    <row r="20" spans="1:15" ht="14.25" customHeight="1" x14ac:dyDescent="0.75">
      <c r="A20" s="378" t="s">
        <v>241</v>
      </c>
      <c r="B20" s="211"/>
      <c r="C20" s="373" t="s">
        <v>592</v>
      </c>
      <c r="D20" s="210"/>
      <c r="E20" s="210"/>
      <c r="F20" s="210"/>
      <c r="G20" s="210"/>
      <c r="H20" s="210"/>
      <c r="I20" s="210"/>
      <c r="J20" s="210"/>
      <c r="K20" s="210"/>
      <c r="L20" s="210"/>
      <c r="M20" s="210"/>
      <c r="N20" s="210"/>
      <c r="O20" s="211"/>
    </row>
    <row r="21" spans="1:15" ht="14.25" customHeight="1" x14ac:dyDescent="0.75">
      <c r="A21" s="378" t="s">
        <v>242</v>
      </c>
      <c r="B21" s="211"/>
      <c r="C21" s="373" t="s">
        <v>593</v>
      </c>
      <c r="D21" s="210"/>
      <c r="E21" s="210"/>
      <c r="F21" s="210"/>
      <c r="G21" s="210"/>
      <c r="H21" s="210"/>
      <c r="I21" s="210"/>
      <c r="J21" s="210"/>
      <c r="K21" s="210"/>
      <c r="L21" s="210"/>
      <c r="M21" s="210"/>
      <c r="N21" s="210"/>
      <c r="O21" s="211"/>
    </row>
    <row r="22" spans="1:15" ht="14.25" customHeight="1" x14ac:dyDescent="0.75">
      <c r="A22" s="378" t="s">
        <v>243</v>
      </c>
      <c r="B22" s="211"/>
      <c r="C22" s="373" t="s">
        <v>594</v>
      </c>
      <c r="D22" s="210"/>
      <c r="E22" s="210"/>
      <c r="F22" s="210"/>
      <c r="G22" s="210"/>
      <c r="H22" s="210"/>
      <c r="I22" s="210"/>
      <c r="J22" s="210"/>
      <c r="K22" s="210"/>
      <c r="L22" s="210"/>
      <c r="M22" s="210"/>
      <c r="N22" s="210"/>
      <c r="O22" s="211"/>
    </row>
    <row r="23" spans="1:15" ht="14.25" customHeight="1" x14ac:dyDescent="0.75">
      <c r="A23" s="378" t="s">
        <v>276</v>
      </c>
      <c r="B23" s="211"/>
      <c r="C23" s="373" t="s">
        <v>595</v>
      </c>
      <c r="D23" s="210"/>
      <c r="E23" s="210"/>
      <c r="F23" s="210"/>
      <c r="G23" s="210"/>
      <c r="H23" s="210"/>
      <c r="I23" s="210"/>
      <c r="J23" s="210"/>
      <c r="K23" s="210"/>
      <c r="L23" s="210"/>
      <c r="M23" s="210"/>
      <c r="N23" s="210"/>
      <c r="O23" s="211"/>
    </row>
    <row r="24" spans="1:15" ht="15" customHeight="1" x14ac:dyDescent="0.75">
      <c r="A24" s="72" t="s">
        <v>278</v>
      </c>
      <c r="B24" s="73"/>
      <c r="C24" s="380" t="s">
        <v>596</v>
      </c>
      <c r="D24" s="210"/>
      <c r="E24" s="210"/>
      <c r="F24" s="210"/>
      <c r="G24" s="210"/>
      <c r="H24" s="210"/>
      <c r="I24" s="210"/>
      <c r="J24" s="210"/>
      <c r="K24" s="210"/>
      <c r="L24" s="210"/>
      <c r="M24" s="210"/>
      <c r="N24" s="210"/>
      <c r="O24" s="211"/>
    </row>
    <row r="25" spans="1:15" ht="15" customHeight="1" x14ac:dyDescent="0.75">
      <c r="A25" s="72" t="s">
        <v>306</v>
      </c>
      <c r="B25" s="73"/>
      <c r="C25" s="74" t="s">
        <v>280</v>
      </c>
      <c r="D25" s="75"/>
      <c r="E25" s="75"/>
      <c r="F25" s="75"/>
      <c r="G25" s="75"/>
      <c r="H25" s="75"/>
      <c r="I25" s="75"/>
      <c r="J25" s="75"/>
      <c r="K25" s="75"/>
      <c r="L25" s="75"/>
      <c r="M25" s="75"/>
      <c r="N25" s="75"/>
      <c r="O25" s="76"/>
    </row>
    <row r="26" spans="1:15" ht="15" customHeight="1" x14ac:dyDescent="0.75">
      <c r="A26" s="72" t="s">
        <v>251</v>
      </c>
      <c r="B26" s="73"/>
      <c r="C26" s="74" t="s">
        <v>597</v>
      </c>
      <c r="D26" s="75"/>
      <c r="E26" s="75"/>
      <c r="F26" s="75"/>
      <c r="G26" s="75"/>
      <c r="H26" s="75"/>
      <c r="I26" s="75"/>
      <c r="J26" s="75"/>
      <c r="K26" s="75"/>
      <c r="L26" s="75"/>
      <c r="M26" s="75"/>
      <c r="N26" s="75"/>
      <c r="O26" s="76"/>
    </row>
    <row r="27" spans="1:15" ht="15" customHeight="1" x14ac:dyDescent="0.75">
      <c r="A27" s="72" t="s">
        <v>253</v>
      </c>
      <c r="B27" s="73"/>
      <c r="C27" s="74" t="s">
        <v>598</v>
      </c>
      <c r="D27" s="75"/>
      <c r="E27" s="75"/>
      <c r="F27" s="75"/>
      <c r="G27" s="75"/>
      <c r="H27" s="75"/>
      <c r="I27" s="75"/>
      <c r="J27" s="75"/>
      <c r="K27" s="75"/>
      <c r="L27" s="75"/>
      <c r="M27" s="75"/>
      <c r="N27" s="75"/>
      <c r="O27" s="76"/>
    </row>
    <row r="28" spans="1:15" ht="15" customHeight="1" x14ac:dyDescent="0.75">
      <c r="A28" s="72" t="s">
        <v>283</v>
      </c>
      <c r="B28" s="73"/>
      <c r="C28" s="376" t="s">
        <v>506</v>
      </c>
      <c r="D28" s="210"/>
      <c r="E28" s="210"/>
      <c r="F28" s="210"/>
      <c r="G28" s="210"/>
      <c r="H28" s="210"/>
      <c r="I28" s="210"/>
      <c r="J28" s="210"/>
      <c r="K28" s="210"/>
      <c r="L28" s="210"/>
      <c r="M28" s="210"/>
      <c r="N28" s="210"/>
      <c r="O28" s="211"/>
    </row>
    <row r="29" spans="1:15" ht="14.25" customHeight="1" x14ac:dyDescent="0.75">
      <c r="A29" s="381" t="s">
        <v>334</v>
      </c>
      <c r="B29" s="211"/>
      <c r="C29" s="373" t="s">
        <v>599</v>
      </c>
      <c r="D29" s="210"/>
      <c r="E29" s="210"/>
      <c r="F29" s="210"/>
      <c r="G29" s="210"/>
      <c r="H29" s="210"/>
      <c r="I29" s="210"/>
      <c r="J29" s="210"/>
      <c r="K29" s="210"/>
      <c r="L29" s="210"/>
      <c r="M29" s="210"/>
      <c r="N29" s="210"/>
      <c r="O29" s="211"/>
    </row>
    <row r="30" spans="1:15" ht="15" customHeight="1" x14ac:dyDescent="0.75">
      <c r="A30" s="371" t="s">
        <v>258</v>
      </c>
      <c r="B30" s="211"/>
      <c r="C30" s="376" t="s">
        <v>356</v>
      </c>
      <c r="D30" s="210"/>
      <c r="E30" s="210"/>
      <c r="F30" s="210"/>
      <c r="G30" s="210"/>
      <c r="H30" s="210"/>
      <c r="I30" s="210"/>
      <c r="J30" s="210"/>
      <c r="K30" s="210"/>
      <c r="L30" s="210"/>
      <c r="M30" s="210"/>
      <c r="N30" s="210"/>
      <c r="O30" s="211"/>
    </row>
    <row r="31" spans="1:15" ht="14.25" customHeight="1" x14ac:dyDescent="0.75">
      <c r="A31" s="378" t="s">
        <v>259</v>
      </c>
      <c r="B31" s="211"/>
      <c r="C31" s="384" t="s">
        <v>600</v>
      </c>
      <c r="D31" s="210"/>
      <c r="E31" s="210"/>
      <c r="F31" s="210"/>
      <c r="G31" s="210"/>
      <c r="H31" s="210"/>
      <c r="I31" s="210"/>
      <c r="J31" s="210"/>
      <c r="K31" s="210"/>
      <c r="L31" s="210"/>
      <c r="M31" s="210"/>
      <c r="N31" s="210"/>
      <c r="O31" s="211"/>
    </row>
    <row r="32" spans="1:15" ht="15" customHeight="1" x14ac:dyDescent="0.75">
      <c r="A32" s="72" t="s">
        <v>261</v>
      </c>
      <c r="B32" s="73"/>
      <c r="C32" s="376" t="s">
        <v>508</v>
      </c>
      <c r="D32" s="210"/>
      <c r="E32" s="210"/>
      <c r="F32" s="210"/>
      <c r="G32" s="210"/>
      <c r="H32" s="210"/>
      <c r="I32" s="210"/>
      <c r="J32" s="210"/>
      <c r="K32" s="210"/>
      <c r="L32" s="210"/>
      <c r="M32" s="210"/>
      <c r="N32" s="210"/>
      <c r="O32" s="211"/>
    </row>
    <row r="33" spans="1:15" ht="30" customHeight="1" x14ac:dyDescent="0.75">
      <c r="A33" s="381" t="s">
        <v>518</v>
      </c>
      <c r="B33" s="211"/>
      <c r="C33" s="271" t="s">
        <v>509</v>
      </c>
      <c r="D33" s="210"/>
      <c r="E33" s="210"/>
      <c r="F33" s="210"/>
      <c r="G33" s="210"/>
      <c r="H33" s="210"/>
      <c r="I33" s="210"/>
      <c r="J33" s="210"/>
      <c r="K33" s="210"/>
      <c r="L33" s="210"/>
      <c r="M33" s="210"/>
      <c r="N33" s="210"/>
      <c r="O33" s="211"/>
    </row>
  </sheetData>
  <mergeCells count="61">
    <mergeCell ref="A1:O1"/>
    <mergeCell ref="J18:K18"/>
    <mergeCell ref="C21:O21"/>
    <mergeCell ref="H14:I14"/>
    <mergeCell ref="A31:B31"/>
    <mergeCell ref="J17:K17"/>
    <mergeCell ref="H12:O12"/>
    <mergeCell ref="C22:O22"/>
    <mergeCell ref="A29:B29"/>
    <mergeCell ref="C31:O31"/>
    <mergeCell ref="C3:C4"/>
    <mergeCell ref="H15:I15"/>
    <mergeCell ref="H18:I18"/>
    <mergeCell ref="H2:J2"/>
    <mergeCell ref="M16:O16"/>
    <mergeCell ref="I3:I4"/>
    <mergeCell ref="C33:O33"/>
    <mergeCell ref="A11:G11"/>
    <mergeCell ref="C24:O24"/>
    <mergeCell ref="H17:I17"/>
    <mergeCell ref="M14:O14"/>
    <mergeCell ref="A12:B12"/>
    <mergeCell ref="A21:B21"/>
    <mergeCell ref="M19:O19"/>
    <mergeCell ref="H16:I16"/>
    <mergeCell ref="H11:O11"/>
    <mergeCell ref="A33:B33"/>
    <mergeCell ref="J16:K16"/>
    <mergeCell ref="C20:O20"/>
    <mergeCell ref="H19:I19"/>
    <mergeCell ref="C29:O29"/>
    <mergeCell ref="A23:B23"/>
    <mergeCell ref="J3:J4"/>
    <mergeCell ref="C32:O32"/>
    <mergeCell ref="A10:G10"/>
    <mergeCell ref="M15:O15"/>
    <mergeCell ref="C28:O28"/>
    <mergeCell ref="A13:G19"/>
    <mergeCell ref="M18:O18"/>
    <mergeCell ref="J15:K15"/>
    <mergeCell ref="M17:O17"/>
    <mergeCell ref="C30:O30"/>
    <mergeCell ref="H13:O13"/>
    <mergeCell ref="A22:B22"/>
    <mergeCell ref="A20:B20"/>
    <mergeCell ref="J5:J9"/>
    <mergeCell ref="C2:G2"/>
    <mergeCell ref="K2:O2"/>
    <mergeCell ref="H3:H4"/>
    <mergeCell ref="A30:B30"/>
    <mergeCell ref="D3:G3"/>
    <mergeCell ref="I5:I9"/>
    <mergeCell ref="D12:G12"/>
    <mergeCell ref="C23:O23"/>
    <mergeCell ref="A3:A9"/>
    <mergeCell ref="J14:K14"/>
    <mergeCell ref="B3:B4"/>
    <mergeCell ref="K3:O9"/>
    <mergeCell ref="J19:K19"/>
    <mergeCell ref="H10:O10"/>
    <mergeCell ref="H5:H9"/>
  </mergeCells>
  <pageMargins left="0.7" right="0.7" top="0.75" bottom="0.75" header="0.511811023622047" footer="0.511811023622047"/>
  <pageSetup paperSize="9" scale="50"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opLeftCell="A8" zoomScale="60" zoomScaleNormal="60" workbookViewId="0">
      <selection activeCell="L15" sqref="L15:L19"/>
    </sheetView>
  </sheetViews>
  <sheetFormatPr baseColWidth="10" defaultColWidth="11.453125" defaultRowHeight="14.75" x14ac:dyDescent="0.75"/>
  <cols>
    <col min="2" max="2" width="25.76953125" style="124" customWidth="1"/>
    <col min="4" max="7" width="5.453125" style="124" customWidth="1"/>
    <col min="10" max="10" width="13.453125" style="124"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9" customHeight="1" x14ac:dyDescent="0.75">
      <c r="A2" s="126" t="s">
        <v>214</v>
      </c>
      <c r="B2" s="126" t="s">
        <v>215</v>
      </c>
      <c r="C2" s="261" t="s">
        <v>216</v>
      </c>
      <c r="D2" s="210"/>
      <c r="E2" s="210"/>
      <c r="F2" s="210"/>
      <c r="G2" s="211"/>
      <c r="H2" s="264" t="s">
        <v>414</v>
      </c>
      <c r="I2" s="210"/>
      <c r="J2" s="211"/>
      <c r="K2" s="261" t="s">
        <v>415</v>
      </c>
      <c r="L2" s="210"/>
      <c r="M2" s="210"/>
      <c r="N2" s="210"/>
      <c r="O2" s="211"/>
    </row>
    <row r="3" spans="1:15" ht="14.25" customHeight="1" x14ac:dyDescent="0.75">
      <c r="A3" s="403" t="s">
        <v>145</v>
      </c>
      <c r="B3" s="240"/>
      <c r="C3" s="254" t="s">
        <v>219</v>
      </c>
      <c r="D3" s="240" t="s">
        <v>220</v>
      </c>
      <c r="E3" s="210"/>
      <c r="F3" s="210"/>
      <c r="G3" s="211"/>
      <c r="H3" s="254" t="s">
        <v>38</v>
      </c>
      <c r="I3" s="254" t="s">
        <v>221</v>
      </c>
      <c r="J3" s="254" t="s">
        <v>222</v>
      </c>
      <c r="K3" s="375" t="s">
        <v>519</v>
      </c>
      <c r="L3" s="242"/>
      <c r="M3" s="242"/>
      <c r="N3" s="242"/>
      <c r="O3" s="243"/>
    </row>
    <row r="4" spans="1:15" ht="62.2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66"/>
      <c r="D5" s="66"/>
      <c r="E5" s="66"/>
      <c r="F5" s="66"/>
      <c r="G5" s="66"/>
      <c r="H5" s="262" t="s">
        <v>520</v>
      </c>
      <c r="I5" s="241" t="s">
        <v>521</v>
      </c>
      <c r="J5" s="241" t="s">
        <v>46</v>
      </c>
      <c r="K5" s="244"/>
      <c r="L5" s="207"/>
      <c r="M5" s="207"/>
      <c r="N5" s="207"/>
      <c r="O5" s="245"/>
    </row>
    <row r="6" spans="1:15" ht="15" customHeight="1" x14ac:dyDescent="0.75">
      <c r="A6" s="224"/>
      <c r="B6" s="130" t="s">
        <v>227</v>
      </c>
      <c r="C6" s="66"/>
      <c r="D6" s="66"/>
      <c r="E6" s="66"/>
      <c r="F6" s="66"/>
      <c r="G6" s="66"/>
      <c r="H6" s="224"/>
      <c r="I6" s="224"/>
      <c r="J6" s="224"/>
      <c r="K6" s="244"/>
      <c r="L6" s="207"/>
      <c r="M6" s="207"/>
      <c r="N6" s="207"/>
      <c r="O6" s="245"/>
    </row>
    <row r="7" spans="1:15" ht="15" customHeight="1" x14ac:dyDescent="0.75">
      <c r="A7" s="224"/>
      <c r="B7" s="130" t="s">
        <v>228</v>
      </c>
      <c r="C7" s="68"/>
      <c r="D7" s="68"/>
      <c r="E7" s="68"/>
      <c r="F7" s="68"/>
      <c r="G7" s="68"/>
      <c r="H7" s="224"/>
      <c r="I7" s="224"/>
      <c r="J7" s="224"/>
      <c r="K7" s="244"/>
      <c r="L7" s="207"/>
      <c r="M7" s="207"/>
      <c r="N7" s="207"/>
      <c r="O7" s="245"/>
    </row>
    <row r="8" spans="1:15" ht="15" customHeight="1" x14ac:dyDescent="0.75">
      <c r="A8" s="224"/>
      <c r="B8" s="130" t="s">
        <v>229</v>
      </c>
      <c r="C8" s="68"/>
      <c r="D8" s="68"/>
      <c r="E8" s="68"/>
      <c r="F8" s="68"/>
      <c r="G8" s="68"/>
      <c r="H8" s="224"/>
      <c r="I8" s="224"/>
      <c r="J8" s="224"/>
      <c r="K8" s="244"/>
      <c r="L8" s="207"/>
      <c r="M8" s="207"/>
      <c r="N8" s="207"/>
      <c r="O8" s="245"/>
    </row>
    <row r="9" spans="1:15" ht="15" customHeight="1" x14ac:dyDescent="0.75">
      <c r="A9" s="213"/>
      <c r="B9" s="51" t="s">
        <v>230</v>
      </c>
      <c r="C9" s="69"/>
      <c r="D9" s="69">
        <v>100</v>
      </c>
      <c r="E9" s="69">
        <v>100</v>
      </c>
      <c r="F9" s="69">
        <v>100</v>
      </c>
      <c r="G9" s="69">
        <v>100</v>
      </c>
      <c r="H9" s="213"/>
      <c r="I9" s="213"/>
      <c r="J9" s="213"/>
      <c r="K9" s="246"/>
      <c r="L9" s="216"/>
      <c r="M9" s="216"/>
      <c r="N9" s="216"/>
      <c r="O9" s="247"/>
    </row>
    <row r="10" spans="1:15" s="3" customFormat="1" ht="15.75" customHeight="1" x14ac:dyDescent="0.75">
      <c r="A10" s="258" t="s">
        <v>18</v>
      </c>
      <c r="B10" s="210"/>
      <c r="C10" s="210"/>
      <c r="D10" s="210"/>
      <c r="E10" s="210"/>
      <c r="F10" s="210"/>
      <c r="G10" s="211"/>
      <c r="H10" s="375" t="s">
        <v>522</v>
      </c>
      <c r="I10" s="210"/>
      <c r="J10" s="210"/>
      <c r="K10" s="210"/>
      <c r="L10" s="210"/>
      <c r="M10" s="210"/>
      <c r="N10" s="210"/>
      <c r="O10" s="211"/>
    </row>
    <row r="11" spans="1:15" s="3" customFormat="1" ht="15.75" customHeight="1" x14ac:dyDescent="0.75">
      <c r="A11" s="379" t="s">
        <v>20</v>
      </c>
      <c r="B11" s="210"/>
      <c r="C11" s="210"/>
      <c r="D11" s="210"/>
      <c r="E11" s="210"/>
      <c r="F11" s="210"/>
      <c r="G11" s="211"/>
      <c r="H11" s="375" t="s">
        <v>21</v>
      </c>
      <c r="I11" s="210"/>
      <c r="J11" s="210"/>
      <c r="K11" s="210"/>
      <c r="L11" s="210"/>
      <c r="M11" s="210"/>
      <c r="N11" s="210"/>
      <c r="O11" s="211"/>
    </row>
    <row r="12" spans="1:15" s="3" customFormat="1" ht="24.75" customHeight="1" x14ac:dyDescent="0.75">
      <c r="A12" s="375" t="s">
        <v>416</v>
      </c>
      <c r="B12" s="211"/>
      <c r="C12" s="71"/>
      <c r="D12" s="372" t="str">
        <f>+A3</f>
        <v>IR3.1.1</v>
      </c>
      <c r="E12" s="210"/>
      <c r="F12" s="210"/>
      <c r="G12" s="211"/>
      <c r="H12" s="407" t="s">
        <v>146</v>
      </c>
      <c r="I12" s="210"/>
      <c r="J12" s="210"/>
      <c r="K12" s="210"/>
      <c r="L12" s="210"/>
      <c r="M12" s="210"/>
      <c r="N12" s="210"/>
      <c r="O12" s="211"/>
    </row>
    <row r="13" spans="1:15" ht="14.25" customHeight="1" x14ac:dyDescent="0.75">
      <c r="A13" s="268" t="s">
        <v>523</v>
      </c>
      <c r="B13" s="242"/>
      <c r="C13" s="242"/>
      <c r="D13" s="242"/>
      <c r="E13" s="242"/>
      <c r="F13" s="242"/>
      <c r="G13" s="243"/>
      <c r="H13" s="240" t="s">
        <v>524</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t="s">
        <v>238</v>
      </c>
      <c r="M14" s="240" t="s">
        <v>272</v>
      </c>
      <c r="N14" s="210"/>
      <c r="O14" s="211"/>
    </row>
    <row r="15" spans="1:15" ht="15.75" customHeight="1" x14ac:dyDescent="0.75">
      <c r="A15" s="244"/>
      <c r="B15" s="207"/>
      <c r="C15" s="207"/>
      <c r="D15" s="207"/>
      <c r="E15" s="207"/>
      <c r="F15" s="207"/>
      <c r="G15" s="245"/>
      <c r="H15" s="240" t="s">
        <v>240</v>
      </c>
      <c r="I15" s="211"/>
      <c r="J15" s="241"/>
      <c r="K15" s="211"/>
      <c r="L15" s="53" t="str">
        <f>IFERROR(M15/J15,"")</f>
        <v/>
      </c>
      <c r="M15" s="252">
        <f>C9</f>
        <v>0</v>
      </c>
      <c r="N15" s="210"/>
      <c r="O15" s="211"/>
    </row>
    <row r="16" spans="1:15" ht="15.75" customHeight="1" x14ac:dyDescent="0.75">
      <c r="A16" s="244"/>
      <c r="B16" s="207"/>
      <c r="C16" s="207"/>
      <c r="D16" s="207"/>
      <c r="E16" s="207"/>
      <c r="F16" s="207"/>
      <c r="G16" s="245"/>
      <c r="H16" s="240">
        <v>2024</v>
      </c>
      <c r="I16" s="211"/>
      <c r="J16" s="372"/>
      <c r="K16" s="211"/>
      <c r="L16" s="53" t="str">
        <f>IFERROR(M16/J16,"")</f>
        <v/>
      </c>
      <c r="M16" s="372">
        <f>D9</f>
        <v>100</v>
      </c>
      <c r="N16" s="210"/>
      <c r="O16" s="211"/>
    </row>
    <row r="17" spans="1:15" ht="15.75" customHeight="1" x14ac:dyDescent="0.75">
      <c r="A17" s="244"/>
      <c r="B17" s="207"/>
      <c r="C17" s="207"/>
      <c r="D17" s="207"/>
      <c r="E17" s="207"/>
      <c r="F17" s="207"/>
      <c r="G17" s="245"/>
      <c r="H17" s="240">
        <v>2025</v>
      </c>
      <c r="I17" s="211"/>
      <c r="J17" s="372"/>
      <c r="K17" s="211"/>
      <c r="L17" s="53" t="str">
        <f>IFERROR(M17/J17,"")</f>
        <v/>
      </c>
      <c r="M17" s="372">
        <f>E9</f>
        <v>100</v>
      </c>
      <c r="N17" s="210"/>
      <c r="O17" s="211"/>
    </row>
    <row r="18" spans="1:15" ht="15.75" customHeight="1" x14ac:dyDescent="0.75">
      <c r="A18" s="244"/>
      <c r="B18" s="207"/>
      <c r="C18" s="207"/>
      <c r="D18" s="207"/>
      <c r="E18" s="207"/>
      <c r="F18" s="207"/>
      <c r="G18" s="245"/>
      <c r="H18" s="240">
        <v>2026</v>
      </c>
      <c r="I18" s="211"/>
      <c r="J18" s="372"/>
      <c r="K18" s="211"/>
      <c r="L18" s="53" t="str">
        <f>IFERROR(M18/J18,"")</f>
        <v/>
      </c>
      <c r="M18" s="372">
        <f>F9</f>
        <v>100</v>
      </c>
      <c r="N18" s="210"/>
      <c r="O18" s="211"/>
    </row>
    <row r="19" spans="1:15" ht="15.75" customHeight="1" x14ac:dyDescent="0.75">
      <c r="A19" s="246"/>
      <c r="B19" s="216"/>
      <c r="C19" s="216"/>
      <c r="D19" s="216"/>
      <c r="E19" s="216"/>
      <c r="F19" s="216"/>
      <c r="G19" s="247"/>
      <c r="H19" s="240">
        <v>2027</v>
      </c>
      <c r="I19" s="211"/>
      <c r="J19" s="372"/>
      <c r="K19" s="211"/>
      <c r="L19" s="53" t="str">
        <f>IFERROR(M19/J19,"")</f>
        <v/>
      </c>
      <c r="M19" s="372">
        <f>G9</f>
        <v>100</v>
      </c>
      <c r="N19" s="210"/>
      <c r="O19" s="211"/>
    </row>
    <row r="20" spans="1:15" ht="14.25" customHeight="1" x14ac:dyDescent="0.75">
      <c r="A20" s="378" t="s">
        <v>241</v>
      </c>
      <c r="B20" s="211"/>
      <c r="C20" s="402" t="s">
        <v>601</v>
      </c>
      <c r="D20" s="210"/>
      <c r="E20" s="210"/>
      <c r="F20" s="210"/>
      <c r="G20" s="210"/>
      <c r="H20" s="210"/>
      <c r="I20" s="210"/>
      <c r="J20" s="210"/>
      <c r="K20" s="210"/>
      <c r="L20" s="210"/>
      <c r="M20" s="210"/>
      <c r="N20" s="210"/>
      <c r="O20" s="211"/>
    </row>
    <row r="21" spans="1:15" ht="14.25" customHeight="1" x14ac:dyDescent="0.75">
      <c r="A21" s="378" t="s">
        <v>242</v>
      </c>
      <c r="B21" s="211"/>
      <c r="C21" s="402" t="s">
        <v>602</v>
      </c>
      <c r="D21" s="210"/>
      <c r="E21" s="210"/>
      <c r="F21" s="210"/>
      <c r="G21" s="210"/>
      <c r="H21" s="210"/>
      <c r="I21" s="210"/>
      <c r="J21" s="210"/>
      <c r="K21" s="210"/>
      <c r="L21" s="210"/>
      <c r="M21" s="210"/>
      <c r="N21" s="210"/>
      <c r="O21" s="211"/>
    </row>
    <row r="22" spans="1:15" ht="14.25" customHeight="1" x14ac:dyDescent="0.75">
      <c r="A22" s="378" t="s">
        <v>243</v>
      </c>
      <c r="B22" s="211"/>
      <c r="C22" s="402" t="s">
        <v>603</v>
      </c>
      <c r="D22" s="210"/>
      <c r="E22" s="210"/>
      <c r="F22" s="210"/>
      <c r="G22" s="210"/>
      <c r="H22" s="210"/>
      <c r="I22" s="210"/>
      <c r="J22" s="210"/>
      <c r="K22" s="210"/>
      <c r="L22" s="210"/>
      <c r="M22" s="210"/>
      <c r="N22" s="210"/>
      <c r="O22" s="211"/>
    </row>
    <row r="23" spans="1:15" ht="14.25" customHeight="1" x14ac:dyDescent="0.75">
      <c r="A23" s="378" t="s">
        <v>276</v>
      </c>
      <c r="B23" s="211"/>
      <c r="C23" s="402" t="str">
        <f>K3</f>
        <v xml:space="preserve">Absence de reclamation adressées auprès de service de réparations des griefs </v>
      </c>
      <c r="D23" s="210"/>
      <c r="E23" s="210"/>
      <c r="F23" s="210"/>
      <c r="G23" s="210"/>
      <c r="H23" s="210"/>
      <c r="I23" s="210"/>
      <c r="J23" s="210"/>
      <c r="K23" s="210"/>
      <c r="L23" s="210"/>
      <c r="M23" s="210"/>
      <c r="N23" s="210"/>
      <c r="O23" s="211"/>
    </row>
    <row r="24" spans="1:15" ht="15" customHeight="1" x14ac:dyDescent="0.75">
      <c r="A24" s="72" t="s">
        <v>278</v>
      </c>
      <c r="B24" s="73"/>
      <c r="C24" s="406" t="s">
        <v>604</v>
      </c>
      <c r="D24" s="210"/>
      <c r="E24" s="210"/>
      <c r="F24" s="210"/>
      <c r="G24" s="210"/>
      <c r="H24" s="210"/>
      <c r="I24" s="210"/>
      <c r="J24" s="210"/>
      <c r="K24" s="210"/>
      <c r="L24" s="210"/>
      <c r="M24" s="210"/>
      <c r="N24" s="210"/>
      <c r="O24" s="211"/>
    </row>
    <row r="25" spans="1:15" ht="15" customHeight="1" x14ac:dyDescent="0.75">
      <c r="A25" s="72" t="s">
        <v>306</v>
      </c>
      <c r="B25" s="73"/>
      <c r="C25" s="89" t="s">
        <v>605</v>
      </c>
      <c r="D25" s="90"/>
      <c r="E25" s="90"/>
      <c r="F25" s="90"/>
      <c r="G25" s="90"/>
      <c r="H25" s="90"/>
      <c r="I25" s="90"/>
      <c r="J25" s="90"/>
      <c r="K25" s="90"/>
      <c r="L25" s="90"/>
      <c r="M25" s="90"/>
      <c r="N25" s="90"/>
      <c r="O25" s="91"/>
    </row>
    <row r="26" spans="1:15" ht="15" customHeight="1" x14ac:dyDescent="0.75">
      <c r="A26" s="72" t="s">
        <v>251</v>
      </c>
      <c r="B26" s="73"/>
      <c r="C26" s="89" t="s">
        <v>606</v>
      </c>
      <c r="D26" s="90"/>
      <c r="E26" s="90"/>
      <c r="F26" s="90"/>
      <c r="G26" s="90"/>
      <c r="H26" s="90"/>
      <c r="I26" s="90"/>
      <c r="J26" s="90"/>
      <c r="K26" s="90"/>
      <c r="L26" s="90"/>
      <c r="M26" s="90"/>
      <c r="N26" s="90"/>
      <c r="O26" s="91"/>
    </row>
    <row r="27" spans="1:15" ht="15" customHeight="1" x14ac:dyDescent="0.75">
      <c r="A27" s="72" t="s">
        <v>253</v>
      </c>
      <c r="B27" s="73"/>
      <c r="C27" s="89" t="s">
        <v>607</v>
      </c>
      <c r="D27" s="90"/>
      <c r="E27" s="90"/>
      <c r="F27" s="90"/>
      <c r="G27" s="90"/>
      <c r="H27" s="90"/>
      <c r="I27" s="90"/>
      <c r="J27" s="90"/>
      <c r="K27" s="90"/>
      <c r="L27" s="90"/>
      <c r="M27" s="90"/>
      <c r="N27" s="90"/>
      <c r="O27" s="91"/>
    </row>
    <row r="28" spans="1:15" ht="15" customHeight="1" x14ac:dyDescent="0.75">
      <c r="A28" s="72" t="s">
        <v>283</v>
      </c>
      <c r="B28" s="73"/>
      <c r="C28" s="404" t="s">
        <v>608</v>
      </c>
      <c r="D28" s="210"/>
      <c r="E28" s="210"/>
      <c r="F28" s="210"/>
      <c r="G28" s="210"/>
      <c r="H28" s="210"/>
      <c r="I28" s="210"/>
      <c r="J28" s="210"/>
      <c r="K28" s="210"/>
      <c r="L28" s="210"/>
      <c r="M28" s="210"/>
      <c r="N28" s="210"/>
      <c r="O28" s="211"/>
    </row>
    <row r="29" spans="1:15" ht="14.25" customHeight="1" x14ac:dyDescent="0.75">
      <c r="A29" s="381" t="s">
        <v>334</v>
      </c>
      <c r="B29" s="211"/>
      <c r="C29" s="402" t="s">
        <v>609</v>
      </c>
      <c r="D29" s="210"/>
      <c r="E29" s="210"/>
      <c r="F29" s="210"/>
      <c r="G29" s="210"/>
      <c r="H29" s="210"/>
      <c r="I29" s="210"/>
      <c r="J29" s="210"/>
      <c r="K29" s="210"/>
      <c r="L29" s="210"/>
      <c r="M29" s="210"/>
      <c r="N29" s="210"/>
      <c r="O29" s="211"/>
    </row>
    <row r="30" spans="1:15" ht="15" customHeight="1" x14ac:dyDescent="0.75">
      <c r="A30" s="371" t="s">
        <v>258</v>
      </c>
      <c r="B30" s="211"/>
      <c r="C30" s="404" t="s">
        <v>520</v>
      </c>
      <c r="D30" s="210"/>
      <c r="E30" s="210"/>
      <c r="F30" s="210"/>
      <c r="G30" s="210"/>
      <c r="H30" s="210"/>
      <c r="I30" s="210"/>
      <c r="J30" s="210"/>
      <c r="K30" s="210"/>
      <c r="L30" s="210"/>
      <c r="M30" s="210"/>
      <c r="N30" s="210"/>
      <c r="O30" s="211"/>
    </row>
    <row r="31" spans="1:15" ht="14.25" customHeight="1" x14ac:dyDescent="0.75">
      <c r="A31" s="378" t="s">
        <v>259</v>
      </c>
      <c r="B31" s="211"/>
      <c r="C31" s="406" t="s">
        <v>260</v>
      </c>
      <c r="D31" s="210"/>
      <c r="E31" s="210"/>
      <c r="F31" s="210"/>
      <c r="G31" s="210"/>
      <c r="H31" s="210"/>
      <c r="I31" s="210"/>
      <c r="J31" s="210"/>
      <c r="K31" s="210"/>
      <c r="L31" s="210"/>
      <c r="M31" s="210"/>
      <c r="N31" s="210"/>
      <c r="O31" s="211"/>
    </row>
    <row r="32" spans="1:15" ht="15" customHeight="1" x14ac:dyDescent="0.75">
      <c r="A32" s="72" t="s">
        <v>261</v>
      </c>
      <c r="B32" s="73"/>
      <c r="C32" s="404" t="s">
        <v>525</v>
      </c>
      <c r="D32" s="210"/>
      <c r="E32" s="210"/>
      <c r="F32" s="210"/>
      <c r="G32" s="210"/>
      <c r="H32" s="210"/>
      <c r="I32" s="210"/>
      <c r="J32" s="210"/>
      <c r="K32" s="210"/>
      <c r="L32" s="210"/>
      <c r="M32" s="210"/>
      <c r="N32" s="210"/>
      <c r="O32" s="211"/>
    </row>
    <row r="33" spans="1:15" ht="39" customHeight="1" x14ac:dyDescent="0.75">
      <c r="A33" s="381" t="s">
        <v>314</v>
      </c>
      <c r="B33" s="211"/>
      <c r="C33" s="405" t="s">
        <v>526</v>
      </c>
      <c r="D33" s="210"/>
      <c r="E33" s="210"/>
      <c r="F33" s="210"/>
      <c r="G33" s="210"/>
      <c r="H33" s="210"/>
      <c r="I33" s="210"/>
      <c r="J33" s="210"/>
      <c r="K33" s="210"/>
      <c r="L33" s="210"/>
      <c r="M33" s="210"/>
      <c r="N33" s="210"/>
      <c r="O33" s="211"/>
    </row>
  </sheetData>
  <mergeCells count="61">
    <mergeCell ref="A1:O1"/>
    <mergeCell ref="J18:K18"/>
    <mergeCell ref="C21:O21"/>
    <mergeCell ref="H14:I14"/>
    <mergeCell ref="A31:B31"/>
    <mergeCell ref="J17:K17"/>
    <mergeCell ref="H12:O12"/>
    <mergeCell ref="C22:O22"/>
    <mergeCell ref="A29:B29"/>
    <mergeCell ref="C31:O31"/>
    <mergeCell ref="C3:C4"/>
    <mergeCell ref="H15:I15"/>
    <mergeCell ref="H18:I18"/>
    <mergeCell ref="H2:J2"/>
    <mergeCell ref="M16:O16"/>
    <mergeCell ref="I3:I4"/>
    <mergeCell ref="C33:O33"/>
    <mergeCell ref="A11:G11"/>
    <mergeCell ref="C24:O24"/>
    <mergeCell ref="H17:I17"/>
    <mergeCell ref="M14:O14"/>
    <mergeCell ref="A12:B12"/>
    <mergeCell ref="A21:B21"/>
    <mergeCell ref="M19:O19"/>
    <mergeCell ref="H16:I16"/>
    <mergeCell ref="H11:O11"/>
    <mergeCell ref="A33:B33"/>
    <mergeCell ref="J16:K16"/>
    <mergeCell ref="C20:O20"/>
    <mergeCell ref="H19:I19"/>
    <mergeCell ref="C29:O29"/>
    <mergeCell ref="A23:B23"/>
    <mergeCell ref="J3:J4"/>
    <mergeCell ref="C32:O32"/>
    <mergeCell ref="A10:G10"/>
    <mergeCell ref="M15:O15"/>
    <mergeCell ref="C28:O28"/>
    <mergeCell ref="A13:G19"/>
    <mergeCell ref="M18:O18"/>
    <mergeCell ref="J15:K15"/>
    <mergeCell ref="M17:O17"/>
    <mergeCell ref="C30:O30"/>
    <mergeCell ref="H13:O13"/>
    <mergeCell ref="A22:B22"/>
    <mergeCell ref="A20:B20"/>
    <mergeCell ref="J5:J9"/>
    <mergeCell ref="C2:G2"/>
    <mergeCell ref="K2:O2"/>
    <mergeCell ref="H3:H4"/>
    <mergeCell ref="A30:B30"/>
    <mergeCell ref="D3:G3"/>
    <mergeCell ref="I5:I9"/>
    <mergeCell ref="D12:G12"/>
    <mergeCell ref="C23:O23"/>
    <mergeCell ref="A3:A9"/>
    <mergeCell ref="J14:K14"/>
    <mergeCell ref="B3:B4"/>
    <mergeCell ref="K3:O9"/>
    <mergeCell ref="J19:K19"/>
    <mergeCell ref="H10:O10"/>
    <mergeCell ref="H5:H9"/>
  </mergeCells>
  <pageMargins left="0.7" right="0.7" top="0.75" bottom="0.75" header="0.511811023622047" footer="0.511811023622047"/>
  <pageSetup paperSize="9" scale="50"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topLeftCell="A5" zoomScale="72" zoomScaleNormal="100" workbookViewId="0">
      <selection activeCell="L15" sqref="L15:L19"/>
    </sheetView>
  </sheetViews>
  <sheetFormatPr baseColWidth="10" defaultColWidth="11.453125" defaultRowHeight="14.75" x14ac:dyDescent="0.75"/>
  <cols>
    <col min="2" max="2" width="25.76953125" style="124" customWidth="1"/>
    <col min="4" max="7" width="5.453125" style="124" customWidth="1"/>
    <col min="10" max="10" width="13.453125" style="124"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9" customHeight="1" x14ac:dyDescent="0.75">
      <c r="A2" s="126" t="s">
        <v>214</v>
      </c>
      <c r="B2" s="126" t="s">
        <v>215</v>
      </c>
      <c r="C2" s="261" t="s">
        <v>216</v>
      </c>
      <c r="D2" s="210"/>
      <c r="E2" s="210"/>
      <c r="F2" s="210"/>
      <c r="G2" s="211"/>
      <c r="H2" s="264" t="s">
        <v>414</v>
      </c>
      <c r="I2" s="210"/>
      <c r="J2" s="211"/>
      <c r="K2" s="261" t="s">
        <v>415</v>
      </c>
      <c r="L2" s="210"/>
      <c r="M2" s="210"/>
      <c r="N2" s="210"/>
      <c r="O2" s="211"/>
    </row>
    <row r="3" spans="1:15" ht="14.25" customHeight="1" x14ac:dyDescent="0.75">
      <c r="A3" s="403" t="s">
        <v>150</v>
      </c>
      <c r="B3" s="240"/>
      <c r="C3" s="254" t="s">
        <v>219</v>
      </c>
      <c r="D3" s="240" t="s">
        <v>220</v>
      </c>
      <c r="E3" s="210"/>
      <c r="F3" s="210"/>
      <c r="G3" s="211"/>
      <c r="H3" s="254" t="s">
        <v>38</v>
      </c>
      <c r="I3" s="254" t="s">
        <v>221</v>
      </c>
      <c r="J3" s="254" t="s">
        <v>222</v>
      </c>
      <c r="K3" s="375" t="s">
        <v>527</v>
      </c>
      <c r="L3" s="242"/>
      <c r="M3" s="242"/>
      <c r="N3" s="242"/>
      <c r="O3" s="243"/>
    </row>
    <row r="4" spans="1:15" ht="62.2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66"/>
      <c r="D5" s="66"/>
      <c r="E5" s="66"/>
      <c r="F5" s="66"/>
      <c r="G5" s="66"/>
      <c r="H5" s="262" t="s">
        <v>428</v>
      </c>
      <c r="I5" s="241" t="s">
        <v>528</v>
      </c>
      <c r="J5" s="241" t="s">
        <v>46</v>
      </c>
      <c r="K5" s="244"/>
      <c r="L5" s="207"/>
      <c r="M5" s="207"/>
      <c r="N5" s="207"/>
      <c r="O5" s="245"/>
    </row>
    <row r="6" spans="1:15" ht="15" customHeight="1" x14ac:dyDescent="0.75">
      <c r="A6" s="224"/>
      <c r="B6" s="130" t="s">
        <v>227</v>
      </c>
      <c r="C6" s="66"/>
      <c r="D6" s="66"/>
      <c r="E6" s="66"/>
      <c r="F6" s="66"/>
      <c r="G6" s="66"/>
      <c r="H6" s="224"/>
      <c r="I6" s="224"/>
      <c r="J6" s="224"/>
      <c r="K6" s="244"/>
      <c r="L6" s="207"/>
      <c r="M6" s="207"/>
      <c r="N6" s="207"/>
      <c r="O6" s="245"/>
    </row>
    <row r="7" spans="1:15" ht="15" customHeight="1" x14ac:dyDescent="0.75">
      <c r="A7" s="224"/>
      <c r="B7" s="130" t="s">
        <v>228</v>
      </c>
      <c r="C7" s="68"/>
      <c r="D7" s="68"/>
      <c r="E7" s="68"/>
      <c r="F7" s="68"/>
      <c r="G7" s="68"/>
      <c r="H7" s="224"/>
      <c r="I7" s="224"/>
      <c r="J7" s="224"/>
      <c r="K7" s="244"/>
      <c r="L7" s="207"/>
      <c r="M7" s="207"/>
      <c r="N7" s="207"/>
      <c r="O7" s="245"/>
    </row>
    <row r="8" spans="1:15" ht="15" customHeight="1" x14ac:dyDescent="0.75">
      <c r="A8" s="213"/>
      <c r="B8" s="130" t="s">
        <v>229</v>
      </c>
      <c r="C8" s="68"/>
      <c r="D8" s="68"/>
      <c r="E8" s="68"/>
      <c r="F8" s="68"/>
      <c r="G8" s="68"/>
      <c r="H8" s="213"/>
      <c r="I8" s="213"/>
      <c r="J8" s="213"/>
      <c r="K8" s="246"/>
      <c r="L8" s="216"/>
      <c r="M8" s="216"/>
      <c r="N8" s="216"/>
      <c r="O8" s="247"/>
    </row>
    <row r="9" spans="1:15" ht="15" customHeight="1" x14ac:dyDescent="0.75">
      <c r="A9" s="141"/>
      <c r="B9" s="51" t="s">
        <v>230</v>
      </c>
      <c r="C9" s="69"/>
      <c r="D9" s="69"/>
      <c r="E9" s="69"/>
      <c r="F9" s="69">
        <v>2</v>
      </c>
      <c r="G9" s="69">
        <v>2</v>
      </c>
      <c r="H9" s="85"/>
      <c r="I9" s="85"/>
      <c r="J9" s="85"/>
      <c r="K9" s="86"/>
      <c r="L9" s="87"/>
      <c r="M9" s="87"/>
      <c r="N9" s="87"/>
      <c r="O9" s="88"/>
    </row>
    <row r="10" spans="1:15" s="3" customFormat="1" ht="15.75" customHeight="1" x14ac:dyDescent="0.75">
      <c r="A10" s="258" t="s">
        <v>18</v>
      </c>
      <c r="B10" s="210"/>
      <c r="C10" s="210"/>
      <c r="D10" s="210"/>
      <c r="E10" s="210"/>
      <c r="F10" s="210"/>
      <c r="G10" s="211"/>
      <c r="H10" s="375" t="s">
        <v>522</v>
      </c>
      <c r="I10" s="210"/>
      <c r="J10" s="210"/>
      <c r="K10" s="210"/>
      <c r="L10" s="210"/>
      <c r="M10" s="210"/>
      <c r="N10" s="210"/>
      <c r="O10" s="211"/>
    </row>
    <row r="11" spans="1:15" s="3" customFormat="1" ht="15.75" customHeight="1" x14ac:dyDescent="0.75">
      <c r="A11" s="379" t="s">
        <v>20</v>
      </c>
      <c r="B11" s="210"/>
      <c r="C11" s="210"/>
      <c r="D11" s="210"/>
      <c r="E11" s="210"/>
      <c r="F11" s="210"/>
      <c r="G11" s="211"/>
      <c r="H11" s="375" t="s">
        <v>21</v>
      </c>
      <c r="I11" s="210"/>
      <c r="J11" s="210"/>
      <c r="K11" s="210"/>
      <c r="L11" s="210"/>
      <c r="M11" s="210"/>
      <c r="N11" s="210"/>
      <c r="O11" s="211"/>
    </row>
    <row r="12" spans="1:15" ht="24.75" customHeight="1" x14ac:dyDescent="0.75">
      <c r="A12" s="375" t="s">
        <v>416</v>
      </c>
      <c r="B12" s="211"/>
      <c r="C12" s="71"/>
      <c r="D12" s="372" t="str">
        <f>A3</f>
        <v>IR3.1.2</v>
      </c>
      <c r="E12" s="210"/>
      <c r="F12" s="210"/>
      <c r="G12" s="211"/>
      <c r="H12" s="408" t="s">
        <v>151</v>
      </c>
      <c r="I12" s="210"/>
      <c r="J12" s="210"/>
      <c r="K12" s="210"/>
      <c r="L12" s="210"/>
      <c r="M12" s="210"/>
      <c r="N12" s="210"/>
      <c r="O12" s="211"/>
    </row>
    <row r="13" spans="1:15" ht="14.25" customHeight="1" x14ac:dyDescent="0.75">
      <c r="A13" s="268" t="s">
        <v>529</v>
      </c>
      <c r="B13" s="242"/>
      <c r="C13" s="242"/>
      <c r="D13" s="242"/>
      <c r="E13" s="242"/>
      <c r="F13" s="242"/>
      <c r="G13" s="243"/>
      <c r="H13" s="240" t="s">
        <v>524</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t="s">
        <v>238</v>
      </c>
      <c r="M14" s="240" t="s">
        <v>272</v>
      </c>
      <c r="N14" s="210"/>
      <c r="O14" s="211"/>
    </row>
    <row r="15" spans="1:15" ht="15.75" customHeight="1" x14ac:dyDescent="0.75">
      <c r="A15" s="244"/>
      <c r="B15" s="207"/>
      <c r="C15" s="207"/>
      <c r="D15" s="207"/>
      <c r="E15" s="207"/>
      <c r="F15" s="207"/>
      <c r="G15" s="245"/>
      <c r="H15" s="240" t="s">
        <v>240</v>
      </c>
      <c r="I15" s="211"/>
      <c r="J15" s="241"/>
      <c r="K15" s="211"/>
      <c r="L15" s="53" t="str">
        <f>IFERROR(M15/J15,"")</f>
        <v/>
      </c>
      <c r="M15" s="252">
        <f>C9</f>
        <v>0</v>
      </c>
      <c r="N15" s="210"/>
      <c r="O15" s="211"/>
    </row>
    <row r="16" spans="1:15" ht="15.75" customHeight="1" x14ac:dyDescent="0.75">
      <c r="A16" s="244"/>
      <c r="B16" s="207"/>
      <c r="C16" s="207"/>
      <c r="D16" s="207"/>
      <c r="E16" s="207"/>
      <c r="F16" s="207"/>
      <c r="G16" s="245"/>
      <c r="H16" s="240">
        <v>2024</v>
      </c>
      <c r="I16" s="211"/>
      <c r="J16" s="372"/>
      <c r="K16" s="211"/>
      <c r="L16" s="53" t="str">
        <f>IFERROR(M16/J16,"")</f>
        <v/>
      </c>
      <c r="M16" s="372">
        <f>D9</f>
        <v>0</v>
      </c>
      <c r="N16" s="210"/>
      <c r="O16" s="211"/>
    </row>
    <row r="17" spans="1:15" ht="15.75" customHeight="1" x14ac:dyDescent="0.75">
      <c r="A17" s="244"/>
      <c r="B17" s="207"/>
      <c r="C17" s="207"/>
      <c r="D17" s="207"/>
      <c r="E17" s="207"/>
      <c r="F17" s="207"/>
      <c r="G17" s="245"/>
      <c r="H17" s="240">
        <v>2025</v>
      </c>
      <c r="I17" s="211"/>
      <c r="J17" s="372"/>
      <c r="K17" s="211"/>
      <c r="L17" s="53" t="str">
        <f>IFERROR(M17/J17,"")</f>
        <v/>
      </c>
      <c r="M17" s="372">
        <f>E9</f>
        <v>0</v>
      </c>
      <c r="N17" s="210"/>
      <c r="O17" s="211"/>
    </row>
    <row r="18" spans="1:15" ht="15.75" customHeight="1" x14ac:dyDescent="0.75">
      <c r="A18" s="244"/>
      <c r="B18" s="207"/>
      <c r="C18" s="207"/>
      <c r="D18" s="207"/>
      <c r="E18" s="207"/>
      <c r="F18" s="207"/>
      <c r="G18" s="245"/>
      <c r="H18" s="240">
        <v>2026</v>
      </c>
      <c r="I18" s="211"/>
      <c r="J18" s="372"/>
      <c r="K18" s="211"/>
      <c r="L18" s="53" t="str">
        <f>IFERROR(M18/J18,"")</f>
        <v/>
      </c>
      <c r="M18" s="372">
        <f>F9</f>
        <v>2</v>
      </c>
      <c r="N18" s="210"/>
      <c r="O18" s="211"/>
    </row>
    <row r="19" spans="1:15" ht="15.75" customHeight="1" x14ac:dyDescent="0.75">
      <c r="A19" s="246"/>
      <c r="B19" s="216"/>
      <c r="C19" s="216"/>
      <c r="D19" s="216"/>
      <c r="E19" s="216"/>
      <c r="F19" s="216"/>
      <c r="G19" s="247"/>
      <c r="H19" s="240">
        <v>2027</v>
      </c>
      <c r="I19" s="211"/>
      <c r="J19" s="372"/>
      <c r="K19" s="211"/>
      <c r="L19" s="53" t="str">
        <f>IFERROR(M19/J19,"")</f>
        <v/>
      </c>
      <c r="M19" s="372">
        <f>G9</f>
        <v>2</v>
      </c>
      <c r="N19" s="210"/>
      <c r="O19" s="211"/>
    </row>
    <row r="20" spans="1:15" ht="14.25" customHeight="1" x14ac:dyDescent="0.75">
      <c r="A20" s="378" t="s">
        <v>241</v>
      </c>
      <c r="B20" s="211"/>
      <c r="C20" s="402" t="s">
        <v>610</v>
      </c>
      <c r="D20" s="210"/>
      <c r="E20" s="210"/>
      <c r="F20" s="210"/>
      <c r="G20" s="210"/>
      <c r="H20" s="210"/>
      <c r="I20" s="210"/>
      <c r="J20" s="210"/>
      <c r="K20" s="210"/>
      <c r="L20" s="210"/>
      <c r="M20" s="210"/>
      <c r="N20" s="210"/>
      <c r="O20" s="211"/>
    </row>
    <row r="21" spans="1:15" ht="14.25" customHeight="1" x14ac:dyDescent="0.75">
      <c r="A21" s="378" t="s">
        <v>242</v>
      </c>
      <c r="B21" s="211"/>
      <c r="C21" s="402" t="s">
        <v>611</v>
      </c>
      <c r="D21" s="210"/>
      <c r="E21" s="210"/>
      <c r="F21" s="210"/>
      <c r="G21" s="210"/>
      <c r="H21" s="210"/>
      <c r="I21" s="210"/>
      <c r="J21" s="210"/>
      <c r="K21" s="210"/>
      <c r="L21" s="210"/>
      <c r="M21" s="210"/>
      <c r="N21" s="210"/>
      <c r="O21" s="211"/>
    </row>
    <row r="22" spans="1:15" ht="14.25" customHeight="1" x14ac:dyDescent="0.75">
      <c r="A22" s="378" t="s">
        <v>243</v>
      </c>
      <c r="B22" s="211"/>
      <c r="C22" s="402" t="s">
        <v>612</v>
      </c>
      <c r="D22" s="210"/>
      <c r="E22" s="210"/>
      <c r="F22" s="210"/>
      <c r="G22" s="210"/>
      <c r="H22" s="210"/>
      <c r="I22" s="210"/>
      <c r="J22" s="210"/>
      <c r="K22" s="210"/>
      <c r="L22" s="210"/>
      <c r="M22" s="210"/>
      <c r="N22" s="210"/>
      <c r="O22" s="211"/>
    </row>
    <row r="23" spans="1:15" ht="14.25" customHeight="1" x14ac:dyDescent="0.75">
      <c r="A23" s="378" t="s">
        <v>276</v>
      </c>
      <c r="B23" s="211"/>
      <c r="C23" s="402" t="s">
        <v>530</v>
      </c>
      <c r="D23" s="210"/>
      <c r="E23" s="210"/>
      <c r="F23" s="210"/>
      <c r="G23" s="210"/>
      <c r="H23" s="210"/>
      <c r="I23" s="210"/>
      <c r="J23" s="210"/>
      <c r="K23" s="210"/>
      <c r="L23" s="210"/>
      <c r="M23" s="210"/>
      <c r="N23" s="210"/>
      <c r="O23" s="211"/>
    </row>
    <row r="24" spans="1:15" ht="15" customHeight="1" x14ac:dyDescent="0.75">
      <c r="A24" s="72" t="s">
        <v>278</v>
      </c>
      <c r="B24" s="73"/>
      <c r="C24" s="406" t="s">
        <v>613</v>
      </c>
      <c r="D24" s="210"/>
      <c r="E24" s="210"/>
      <c r="F24" s="210"/>
      <c r="G24" s="210"/>
      <c r="H24" s="210"/>
      <c r="I24" s="210"/>
      <c r="J24" s="210"/>
      <c r="K24" s="210"/>
      <c r="L24" s="210"/>
      <c r="M24" s="210"/>
      <c r="N24" s="210"/>
      <c r="O24" s="211"/>
    </row>
    <row r="25" spans="1:15" ht="15" customHeight="1" x14ac:dyDescent="0.75">
      <c r="A25" s="72" t="s">
        <v>531</v>
      </c>
      <c r="B25" s="73"/>
      <c r="C25" s="89" t="s">
        <v>614</v>
      </c>
      <c r="D25" s="90"/>
      <c r="E25" s="90"/>
      <c r="F25" s="90"/>
      <c r="G25" s="90"/>
      <c r="H25" s="90"/>
      <c r="I25" s="90"/>
      <c r="J25" s="90"/>
      <c r="K25" s="90"/>
      <c r="L25" s="90"/>
      <c r="M25" s="90"/>
      <c r="N25" s="90"/>
      <c r="O25" s="91"/>
    </row>
    <row r="26" spans="1:15" ht="15" customHeight="1" x14ac:dyDescent="0.75">
      <c r="A26" s="72" t="s">
        <v>251</v>
      </c>
      <c r="B26" s="73"/>
      <c r="C26" s="89" t="s">
        <v>615</v>
      </c>
      <c r="D26" s="90"/>
      <c r="E26" s="90"/>
      <c r="F26" s="90"/>
      <c r="G26" s="90"/>
      <c r="H26" s="90"/>
      <c r="I26" s="90"/>
      <c r="J26" s="90"/>
      <c r="K26" s="90"/>
      <c r="L26" s="90"/>
      <c r="M26" s="90"/>
      <c r="N26" s="90"/>
      <c r="O26" s="91"/>
    </row>
    <row r="27" spans="1:15" ht="15" customHeight="1" x14ac:dyDescent="0.75">
      <c r="A27" s="72" t="s">
        <v>253</v>
      </c>
      <c r="B27" s="73"/>
      <c r="C27" s="89" t="s">
        <v>557</v>
      </c>
      <c r="D27" s="90"/>
      <c r="E27" s="90"/>
      <c r="F27" s="90"/>
      <c r="G27" s="90"/>
      <c r="H27" s="90"/>
      <c r="I27" s="90"/>
      <c r="J27" s="90"/>
      <c r="K27" s="90"/>
      <c r="L27" s="90"/>
      <c r="M27" s="90"/>
      <c r="N27" s="90"/>
      <c r="O27" s="91"/>
    </row>
    <row r="28" spans="1:15" ht="15" customHeight="1" x14ac:dyDescent="0.75">
      <c r="A28" s="72" t="s">
        <v>283</v>
      </c>
      <c r="B28" s="73"/>
      <c r="C28" s="404" t="s">
        <v>616</v>
      </c>
      <c r="D28" s="210"/>
      <c r="E28" s="210"/>
      <c r="F28" s="210"/>
      <c r="G28" s="210"/>
      <c r="H28" s="210"/>
      <c r="I28" s="210"/>
      <c r="J28" s="210"/>
      <c r="K28" s="210"/>
      <c r="L28" s="210"/>
      <c r="M28" s="210"/>
      <c r="N28" s="210"/>
      <c r="O28" s="211"/>
    </row>
    <row r="29" spans="1:15" ht="14.25" customHeight="1" x14ac:dyDescent="0.75">
      <c r="A29" s="381" t="s">
        <v>334</v>
      </c>
      <c r="B29" s="211"/>
      <c r="C29" s="402" t="s">
        <v>617</v>
      </c>
      <c r="D29" s="210"/>
      <c r="E29" s="210"/>
      <c r="F29" s="210"/>
      <c r="G29" s="210"/>
      <c r="H29" s="210"/>
      <c r="I29" s="210"/>
      <c r="J29" s="210"/>
      <c r="K29" s="210"/>
      <c r="L29" s="210"/>
      <c r="M29" s="210"/>
      <c r="N29" s="210"/>
      <c r="O29" s="211"/>
    </row>
    <row r="30" spans="1:15" ht="15" customHeight="1" x14ac:dyDescent="0.75">
      <c r="A30" s="371" t="s">
        <v>258</v>
      </c>
      <c r="B30" s="211"/>
      <c r="C30" s="404" t="s">
        <v>428</v>
      </c>
      <c r="D30" s="210"/>
      <c r="E30" s="210"/>
      <c r="F30" s="210"/>
      <c r="G30" s="210"/>
      <c r="H30" s="210"/>
      <c r="I30" s="210"/>
      <c r="J30" s="210"/>
      <c r="K30" s="210"/>
      <c r="L30" s="210"/>
      <c r="M30" s="210"/>
      <c r="N30" s="210"/>
      <c r="O30" s="211"/>
    </row>
    <row r="31" spans="1:15" ht="14.25" customHeight="1" x14ac:dyDescent="0.75">
      <c r="A31" s="378" t="s">
        <v>259</v>
      </c>
      <c r="B31" s="211"/>
      <c r="C31" s="406" t="s">
        <v>618</v>
      </c>
      <c r="D31" s="210"/>
      <c r="E31" s="210"/>
      <c r="F31" s="210"/>
      <c r="G31" s="210"/>
      <c r="H31" s="210"/>
      <c r="I31" s="210"/>
      <c r="J31" s="210"/>
      <c r="K31" s="210"/>
      <c r="L31" s="210"/>
      <c r="M31" s="210"/>
      <c r="N31" s="210"/>
      <c r="O31" s="211"/>
    </row>
    <row r="32" spans="1:15" ht="15" customHeight="1" x14ac:dyDescent="0.75">
      <c r="A32" s="72" t="s">
        <v>261</v>
      </c>
      <c r="B32" s="73"/>
      <c r="C32" s="404" t="s">
        <v>619</v>
      </c>
      <c r="D32" s="210"/>
      <c r="E32" s="210"/>
      <c r="F32" s="210"/>
      <c r="G32" s="210"/>
      <c r="H32" s="210"/>
      <c r="I32" s="210"/>
      <c r="J32" s="210"/>
      <c r="K32" s="210"/>
      <c r="L32" s="210"/>
      <c r="M32" s="210"/>
      <c r="N32" s="210"/>
      <c r="O32" s="211"/>
    </row>
    <row r="33" spans="1:15" ht="39" customHeight="1" x14ac:dyDescent="0.75">
      <c r="A33" s="381" t="s">
        <v>518</v>
      </c>
      <c r="B33" s="211"/>
      <c r="C33" s="405" t="s">
        <v>620</v>
      </c>
      <c r="D33" s="210"/>
      <c r="E33" s="210"/>
      <c r="F33" s="210"/>
      <c r="G33" s="210"/>
      <c r="H33" s="210"/>
      <c r="I33" s="210"/>
      <c r="J33" s="210"/>
      <c r="K33" s="210"/>
      <c r="L33" s="210"/>
      <c r="M33" s="210"/>
      <c r="N33" s="210"/>
      <c r="O33" s="211"/>
    </row>
    <row r="34" spans="1:15" ht="15" customHeight="1" x14ac:dyDescent="0.75">
      <c r="C34" s="92"/>
      <c r="D34" s="92"/>
      <c r="E34" s="92"/>
      <c r="F34" s="92"/>
      <c r="G34" s="92"/>
      <c r="H34" s="92"/>
      <c r="I34" s="92"/>
      <c r="J34" s="92"/>
      <c r="K34" s="92"/>
      <c r="L34" s="92"/>
      <c r="M34" s="92"/>
      <c r="N34" s="92"/>
      <c r="O34" s="92"/>
    </row>
  </sheetData>
  <mergeCells count="61">
    <mergeCell ref="H19:I19"/>
    <mergeCell ref="J3:J4"/>
    <mergeCell ref="C3:C4"/>
    <mergeCell ref="H15:I15"/>
    <mergeCell ref="H18:I18"/>
    <mergeCell ref="A1:O1"/>
    <mergeCell ref="J18:K18"/>
    <mergeCell ref="H14:I14"/>
    <mergeCell ref="H5:H8"/>
    <mergeCell ref="J5:J8"/>
    <mergeCell ref="K2:O2"/>
    <mergeCell ref="H3:H4"/>
    <mergeCell ref="H10:O10"/>
    <mergeCell ref="C33:O33"/>
    <mergeCell ref="A11:G11"/>
    <mergeCell ref="C24:O24"/>
    <mergeCell ref="H17:I17"/>
    <mergeCell ref="M14:O14"/>
    <mergeCell ref="A12:B12"/>
    <mergeCell ref="A21:B21"/>
    <mergeCell ref="M19:O19"/>
    <mergeCell ref="H16:I16"/>
    <mergeCell ref="H11:O11"/>
    <mergeCell ref="A33:B33"/>
    <mergeCell ref="J16:K16"/>
    <mergeCell ref="C29:O29"/>
    <mergeCell ref="C31:O31"/>
    <mergeCell ref="C21:O21"/>
    <mergeCell ref="A31:B31"/>
    <mergeCell ref="A23:B23"/>
    <mergeCell ref="A22:B22"/>
    <mergeCell ref="A20:B20"/>
    <mergeCell ref="H2:J2"/>
    <mergeCell ref="M16:O16"/>
    <mergeCell ref="I3:I4"/>
    <mergeCell ref="I5:I8"/>
    <mergeCell ref="A3:A8"/>
    <mergeCell ref="C2:G2"/>
    <mergeCell ref="D3:G3"/>
    <mergeCell ref="B3:B4"/>
    <mergeCell ref="C22:O22"/>
    <mergeCell ref="H13:O13"/>
    <mergeCell ref="K3:O8"/>
    <mergeCell ref="H12:O12"/>
    <mergeCell ref="C20:O20"/>
    <mergeCell ref="A29:B29"/>
    <mergeCell ref="C32:O32"/>
    <mergeCell ref="A10:G10"/>
    <mergeCell ref="M15:O15"/>
    <mergeCell ref="C28:O28"/>
    <mergeCell ref="J17:K17"/>
    <mergeCell ref="A13:G19"/>
    <mergeCell ref="M18:O18"/>
    <mergeCell ref="J15:K15"/>
    <mergeCell ref="M17:O17"/>
    <mergeCell ref="C30:O30"/>
    <mergeCell ref="A30:B30"/>
    <mergeCell ref="D12:G12"/>
    <mergeCell ref="C23:O23"/>
    <mergeCell ref="J14:K14"/>
    <mergeCell ref="J19:K19"/>
  </mergeCells>
  <pageMargins left="0.7" right="0.7" top="0.75" bottom="0.75" header="0.511811023622047" footer="0.511811023622047"/>
  <pageSetup paperSize="9" scale="50"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Views>
    <sheetView zoomScale="71" zoomScaleNormal="100" workbookViewId="0">
      <selection activeCell="A10" sqref="A10:G10"/>
    </sheetView>
  </sheetViews>
  <sheetFormatPr baseColWidth="10" defaultColWidth="8.76953125" defaultRowHeight="14.75" x14ac:dyDescent="0.75"/>
  <cols>
    <col min="1" max="1" width="35.2265625" style="124" customWidth="1"/>
    <col min="2" max="2" width="25.76953125" style="124" customWidth="1"/>
    <col min="4" max="4" width="10" style="124" customWidth="1"/>
    <col min="8" max="8" width="12.453125" style="124" customWidth="1"/>
    <col min="9" max="9" width="14.54296875" style="124" customWidth="1"/>
    <col min="10" max="10" width="13.453125" style="124" customWidth="1"/>
    <col min="11" max="11" width="2.2265625" style="124"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9" customHeight="1" x14ac:dyDescent="0.75">
      <c r="A2" s="126" t="s">
        <v>214</v>
      </c>
      <c r="B2" s="126" t="s">
        <v>215</v>
      </c>
      <c r="C2" s="261" t="s">
        <v>216</v>
      </c>
      <c r="D2" s="210"/>
      <c r="E2" s="210"/>
      <c r="F2" s="210"/>
      <c r="G2" s="211"/>
      <c r="H2" s="264" t="s">
        <v>414</v>
      </c>
      <c r="I2" s="210"/>
      <c r="J2" s="211"/>
      <c r="K2" s="261" t="s">
        <v>415</v>
      </c>
      <c r="L2" s="210"/>
      <c r="M2" s="210"/>
      <c r="N2" s="210"/>
      <c r="O2" s="211"/>
    </row>
    <row r="3" spans="1:15" ht="14.25" customHeight="1" x14ac:dyDescent="0.75">
      <c r="A3" s="372" t="s">
        <v>152</v>
      </c>
      <c r="B3" s="240"/>
      <c r="C3" s="254" t="s">
        <v>219</v>
      </c>
      <c r="D3" s="240" t="s">
        <v>220</v>
      </c>
      <c r="E3" s="210"/>
      <c r="F3" s="210"/>
      <c r="G3" s="211"/>
      <c r="H3" s="254" t="s">
        <v>38</v>
      </c>
      <c r="I3" s="254" t="s">
        <v>221</v>
      </c>
      <c r="J3" s="254" t="s">
        <v>222</v>
      </c>
      <c r="K3" s="374"/>
      <c r="L3" s="242"/>
      <c r="M3" s="242"/>
      <c r="N3" s="242"/>
      <c r="O3" s="243"/>
    </row>
    <row r="4" spans="1:15" ht="62.2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66"/>
      <c r="D5" s="66"/>
      <c r="E5" s="66"/>
      <c r="F5" s="66"/>
      <c r="G5" s="66"/>
      <c r="H5" s="262" t="s">
        <v>428</v>
      </c>
      <c r="I5" s="241"/>
      <c r="J5" s="241"/>
      <c r="K5" s="244"/>
      <c r="L5" s="207"/>
      <c r="M5" s="207"/>
      <c r="N5" s="207"/>
      <c r="O5" s="245"/>
    </row>
    <row r="6" spans="1:15" ht="15" customHeight="1" x14ac:dyDescent="0.75">
      <c r="A6" s="224"/>
      <c r="B6" s="130" t="s">
        <v>227</v>
      </c>
      <c r="C6" s="66"/>
      <c r="D6" s="67"/>
      <c r="E6" s="67"/>
      <c r="F6" s="67"/>
      <c r="G6" s="67"/>
      <c r="H6" s="224"/>
      <c r="I6" s="224"/>
      <c r="J6" s="224"/>
      <c r="K6" s="244"/>
      <c r="L6" s="207"/>
      <c r="M6" s="207"/>
      <c r="N6" s="207"/>
      <c r="O6" s="245"/>
    </row>
    <row r="7" spans="1:15" ht="15" customHeight="1" x14ac:dyDescent="0.75">
      <c r="A7" s="224"/>
      <c r="B7" s="130" t="s">
        <v>228</v>
      </c>
      <c r="C7" s="68"/>
      <c r="D7" s="68"/>
      <c r="E7" s="68"/>
      <c r="F7" s="68"/>
      <c r="G7" s="68"/>
      <c r="H7" s="224"/>
      <c r="I7" s="224"/>
      <c r="J7" s="224"/>
      <c r="K7" s="244"/>
      <c r="L7" s="207"/>
      <c r="M7" s="207"/>
      <c r="N7" s="207"/>
      <c r="O7" s="245"/>
    </row>
    <row r="8" spans="1:15" ht="15" customHeight="1" x14ac:dyDescent="0.75">
      <c r="A8" s="224"/>
      <c r="B8" s="130" t="s">
        <v>229</v>
      </c>
      <c r="C8" s="68"/>
      <c r="D8" s="68"/>
      <c r="E8" s="68"/>
      <c r="F8" s="68"/>
      <c r="G8" s="68"/>
      <c r="H8" s="224"/>
      <c r="I8" s="224"/>
      <c r="J8" s="224"/>
      <c r="K8" s="244"/>
      <c r="L8" s="207"/>
      <c r="M8" s="207"/>
      <c r="N8" s="207"/>
      <c r="O8" s="245"/>
    </row>
    <row r="9" spans="1:15" ht="15" customHeight="1" x14ac:dyDescent="0.75">
      <c r="A9" s="213"/>
      <c r="B9" s="51" t="s">
        <v>230</v>
      </c>
      <c r="C9" s="69"/>
      <c r="D9" s="70"/>
      <c r="E9" s="70"/>
      <c r="F9" s="70"/>
      <c r="G9" s="70"/>
      <c r="H9" s="213"/>
      <c r="I9" s="213"/>
      <c r="J9" s="213"/>
      <c r="K9" s="246"/>
      <c r="L9" s="216"/>
      <c r="M9" s="216"/>
      <c r="N9" s="216"/>
      <c r="O9" s="247"/>
    </row>
    <row r="10" spans="1:15" ht="14.25" customHeight="1" x14ac:dyDescent="0.75">
      <c r="A10" s="258" t="s">
        <v>18</v>
      </c>
      <c r="B10" s="210"/>
      <c r="C10" s="210"/>
      <c r="D10" s="210"/>
      <c r="E10" s="210"/>
      <c r="F10" s="210"/>
      <c r="G10" s="211"/>
      <c r="H10" s="375" t="s">
        <v>61</v>
      </c>
      <c r="I10" s="210"/>
      <c r="J10" s="210"/>
      <c r="K10" s="210"/>
      <c r="L10" s="210"/>
      <c r="M10" s="210"/>
      <c r="N10" s="210"/>
      <c r="O10" s="211"/>
    </row>
    <row r="11" spans="1:15" ht="30.45" customHeight="1" x14ac:dyDescent="0.75">
      <c r="A11" s="379" t="s">
        <v>20</v>
      </c>
      <c r="B11" s="210"/>
      <c r="C11" s="210"/>
      <c r="D11" s="210"/>
      <c r="E11" s="210"/>
      <c r="F11" s="210"/>
      <c r="G11" s="211"/>
      <c r="H11" s="375" t="s">
        <v>144</v>
      </c>
      <c r="I11" s="210"/>
      <c r="J11" s="210"/>
      <c r="K11" s="210"/>
      <c r="L11" s="210"/>
      <c r="M11" s="210"/>
      <c r="N11" s="210"/>
      <c r="O11" s="211"/>
    </row>
    <row r="12" spans="1:15" ht="14.25" customHeight="1" x14ac:dyDescent="0.75">
      <c r="A12" s="375" t="s">
        <v>416</v>
      </c>
      <c r="B12" s="211"/>
      <c r="C12" s="71"/>
      <c r="D12" s="372" t="str">
        <f>A3</f>
        <v>IR3.1.3</v>
      </c>
      <c r="E12" s="210"/>
      <c r="F12" s="210"/>
      <c r="G12" s="211"/>
      <c r="H12" s="382" t="s">
        <v>153</v>
      </c>
      <c r="I12" s="210"/>
      <c r="J12" s="210"/>
      <c r="K12" s="210"/>
      <c r="L12" s="210"/>
      <c r="M12" s="210"/>
      <c r="N12" s="210"/>
      <c r="O12" s="211"/>
    </row>
    <row r="13" spans="1:15" ht="14.25" customHeight="1" x14ac:dyDescent="0.75">
      <c r="A13" s="268" t="s">
        <v>417</v>
      </c>
      <c r="B13" s="242"/>
      <c r="C13" s="242"/>
      <c r="D13" s="242"/>
      <c r="E13" s="242"/>
      <c r="F13" s="242"/>
      <c r="G13" s="243"/>
      <c r="H13" s="240" t="s">
        <v>235</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c r="M14" s="240"/>
      <c r="N14" s="210"/>
      <c r="O14" s="211"/>
    </row>
    <row r="15" spans="1:15" ht="15.75" customHeight="1" x14ac:dyDescent="0.75">
      <c r="A15" s="244"/>
      <c r="B15" s="207"/>
      <c r="C15" s="207"/>
      <c r="D15" s="207"/>
      <c r="E15" s="207"/>
      <c r="F15" s="207"/>
      <c r="G15" s="245"/>
      <c r="H15" s="240" t="s">
        <v>240</v>
      </c>
      <c r="I15" s="211"/>
      <c r="J15" s="241"/>
      <c r="K15" s="211"/>
      <c r="L15" s="53"/>
      <c r="M15" s="252"/>
      <c r="N15" s="210"/>
      <c r="O15" s="211"/>
    </row>
    <row r="16" spans="1:15" ht="15.75" customHeight="1" x14ac:dyDescent="0.75">
      <c r="A16" s="244"/>
      <c r="B16" s="207"/>
      <c r="C16" s="207"/>
      <c r="D16" s="207"/>
      <c r="E16" s="207"/>
      <c r="F16" s="207"/>
      <c r="G16" s="245"/>
      <c r="H16" s="240">
        <v>2024</v>
      </c>
      <c r="I16" s="211"/>
      <c r="J16" s="372"/>
      <c r="K16" s="211"/>
      <c r="L16" s="53"/>
      <c r="M16" s="396"/>
      <c r="N16" s="210"/>
      <c r="O16" s="211"/>
    </row>
    <row r="17" spans="1:15" ht="15.75" customHeight="1" x14ac:dyDescent="0.75">
      <c r="A17" s="244"/>
      <c r="B17" s="207"/>
      <c r="C17" s="207"/>
      <c r="D17" s="207"/>
      <c r="E17" s="207"/>
      <c r="F17" s="207"/>
      <c r="G17" s="245"/>
      <c r="H17" s="240">
        <v>2025</v>
      </c>
      <c r="I17" s="211"/>
      <c r="J17" s="372"/>
      <c r="K17" s="211"/>
      <c r="L17" s="53"/>
      <c r="M17" s="396"/>
      <c r="N17" s="210"/>
      <c r="O17" s="211"/>
    </row>
    <row r="18" spans="1:15" ht="15.75" customHeight="1" x14ac:dyDescent="0.75">
      <c r="A18" s="244"/>
      <c r="B18" s="207"/>
      <c r="C18" s="207"/>
      <c r="D18" s="207"/>
      <c r="E18" s="207"/>
      <c r="F18" s="207"/>
      <c r="G18" s="245"/>
      <c r="H18" s="240">
        <v>2026</v>
      </c>
      <c r="I18" s="211"/>
      <c r="J18" s="372"/>
      <c r="K18" s="211"/>
      <c r="L18" s="53"/>
      <c r="M18" s="396"/>
      <c r="N18" s="210"/>
      <c r="O18" s="211"/>
    </row>
    <row r="19" spans="1:15" ht="24.75" customHeight="1" x14ac:dyDescent="0.75">
      <c r="A19" s="246"/>
      <c r="B19" s="216"/>
      <c r="C19" s="216"/>
      <c r="D19" s="216"/>
      <c r="E19" s="216"/>
      <c r="F19" s="216"/>
      <c r="G19" s="247"/>
      <c r="H19" s="240">
        <v>2027</v>
      </c>
      <c r="I19" s="211"/>
      <c r="J19" s="372"/>
      <c r="K19" s="211"/>
      <c r="L19" s="53"/>
      <c r="M19" s="396"/>
      <c r="N19" s="210"/>
      <c r="O19" s="211"/>
    </row>
    <row r="20" spans="1:15" ht="14.25" customHeight="1" x14ac:dyDescent="0.75">
      <c r="A20" s="378" t="s">
        <v>241</v>
      </c>
      <c r="B20" s="211"/>
      <c r="C20" s="373" t="s">
        <v>621</v>
      </c>
      <c r="D20" s="210"/>
      <c r="E20" s="210"/>
      <c r="F20" s="210"/>
      <c r="G20" s="210"/>
      <c r="H20" s="210"/>
      <c r="I20" s="210"/>
      <c r="J20" s="210"/>
      <c r="K20" s="210"/>
      <c r="L20" s="210"/>
      <c r="M20" s="210"/>
      <c r="N20" s="210"/>
      <c r="O20" s="211"/>
    </row>
    <row r="21" spans="1:15" ht="14.25" customHeight="1" x14ac:dyDescent="0.75">
      <c r="A21" s="378" t="s">
        <v>242</v>
      </c>
      <c r="B21" s="211"/>
      <c r="C21" s="373" t="s">
        <v>622</v>
      </c>
      <c r="D21" s="210"/>
      <c r="E21" s="210"/>
      <c r="F21" s="210"/>
      <c r="G21" s="210"/>
      <c r="H21" s="210"/>
      <c r="I21" s="210"/>
      <c r="J21" s="210"/>
      <c r="K21" s="210"/>
      <c r="L21" s="210"/>
      <c r="M21" s="210"/>
      <c r="N21" s="210"/>
      <c r="O21" s="211"/>
    </row>
    <row r="22" spans="1:15" x14ac:dyDescent="0.75">
      <c r="A22" s="378" t="s">
        <v>243</v>
      </c>
      <c r="B22" s="211"/>
      <c r="C22" s="373" t="s">
        <v>623</v>
      </c>
      <c r="D22" s="210"/>
      <c r="E22" s="210"/>
      <c r="F22" s="210"/>
      <c r="G22" s="210"/>
      <c r="H22" s="210"/>
      <c r="I22" s="210"/>
      <c r="J22" s="210"/>
      <c r="K22" s="210"/>
      <c r="L22" s="210"/>
      <c r="M22" s="210"/>
      <c r="N22" s="210"/>
      <c r="O22" s="211"/>
    </row>
    <row r="23" spans="1:15" ht="14.25" customHeight="1" x14ac:dyDescent="0.75">
      <c r="A23" s="378" t="s">
        <v>276</v>
      </c>
      <c r="B23" s="211"/>
      <c r="C23" s="373" t="s">
        <v>624</v>
      </c>
      <c r="D23" s="210"/>
      <c r="E23" s="210"/>
      <c r="F23" s="210"/>
      <c r="G23" s="210"/>
      <c r="H23" s="210"/>
      <c r="I23" s="210"/>
      <c r="J23" s="210"/>
      <c r="K23" s="210"/>
      <c r="L23" s="210"/>
      <c r="M23" s="210"/>
      <c r="N23" s="210"/>
      <c r="O23" s="211"/>
    </row>
    <row r="24" spans="1:15" ht="15" customHeight="1" x14ac:dyDescent="0.75">
      <c r="A24" s="378" t="s">
        <v>278</v>
      </c>
      <c r="B24" s="211"/>
      <c r="C24" s="380" t="s">
        <v>625</v>
      </c>
      <c r="D24" s="210"/>
      <c r="E24" s="210"/>
      <c r="F24" s="210"/>
      <c r="G24" s="210"/>
      <c r="H24" s="210"/>
      <c r="I24" s="210"/>
      <c r="J24" s="210"/>
      <c r="K24" s="210"/>
      <c r="L24" s="210"/>
      <c r="M24" s="210"/>
      <c r="N24" s="210"/>
      <c r="O24" s="211"/>
    </row>
    <row r="25" spans="1:15" ht="15" customHeight="1" x14ac:dyDescent="0.75">
      <c r="A25" s="378" t="s">
        <v>306</v>
      </c>
      <c r="B25" s="211"/>
      <c r="C25" s="74" t="s">
        <v>626</v>
      </c>
      <c r="D25" s="75"/>
      <c r="E25" s="75"/>
      <c r="F25" s="75"/>
      <c r="G25" s="75"/>
      <c r="H25" s="75"/>
      <c r="I25" s="75"/>
      <c r="J25" s="75"/>
      <c r="K25" s="75"/>
      <c r="L25" s="75"/>
      <c r="M25" s="75"/>
      <c r="N25" s="75"/>
      <c r="O25" s="76"/>
    </row>
    <row r="26" spans="1:15" ht="15" customHeight="1" x14ac:dyDescent="0.75">
      <c r="A26" s="378" t="s">
        <v>251</v>
      </c>
      <c r="B26" s="211"/>
      <c r="C26" s="74" t="s">
        <v>627</v>
      </c>
      <c r="D26" s="75"/>
      <c r="E26" s="75"/>
      <c r="F26" s="75"/>
      <c r="G26" s="75"/>
      <c r="H26" s="75"/>
      <c r="I26" s="75"/>
      <c r="J26" s="75"/>
      <c r="K26" s="75"/>
      <c r="L26" s="75"/>
      <c r="M26" s="75"/>
      <c r="N26" s="75"/>
      <c r="O26" s="76"/>
    </row>
    <row r="27" spans="1:15" ht="15" customHeight="1" x14ac:dyDescent="0.75">
      <c r="A27" s="378" t="s">
        <v>253</v>
      </c>
      <c r="B27" s="211"/>
      <c r="C27" s="74"/>
      <c r="D27" s="75"/>
      <c r="E27" s="75"/>
      <c r="F27" s="75"/>
      <c r="G27" s="75"/>
      <c r="H27" s="75"/>
      <c r="I27" s="75"/>
      <c r="J27" s="75"/>
      <c r="K27" s="75"/>
      <c r="L27" s="75"/>
      <c r="M27" s="75"/>
      <c r="N27" s="75"/>
      <c r="O27" s="76"/>
    </row>
    <row r="28" spans="1:15" ht="25.95" customHeight="1" x14ac:dyDescent="0.75">
      <c r="A28" s="378" t="s">
        <v>283</v>
      </c>
      <c r="B28" s="211"/>
      <c r="C28" s="259" t="s">
        <v>628</v>
      </c>
      <c r="D28" s="259"/>
      <c r="E28" s="259"/>
      <c r="F28" s="259"/>
      <c r="G28" s="259"/>
      <c r="H28" s="259"/>
      <c r="I28" s="259"/>
      <c r="J28" s="259"/>
      <c r="K28" s="259"/>
      <c r="L28" s="259"/>
      <c r="M28" s="259"/>
      <c r="N28" s="259"/>
      <c r="O28" s="259"/>
    </row>
    <row r="29" spans="1:15" ht="15" customHeight="1" x14ac:dyDescent="0.75">
      <c r="A29" s="378" t="s">
        <v>334</v>
      </c>
      <c r="B29" s="211"/>
      <c r="C29" s="384" t="s">
        <v>629</v>
      </c>
      <c r="D29" s="384"/>
      <c r="E29" s="384"/>
      <c r="F29" s="384"/>
      <c r="G29" s="384"/>
      <c r="H29" s="384"/>
      <c r="I29" s="384"/>
      <c r="J29" s="384"/>
      <c r="K29" s="384"/>
      <c r="L29" s="384"/>
      <c r="M29" s="384"/>
      <c r="N29" s="384"/>
      <c r="O29" s="384"/>
    </row>
    <row r="30" spans="1:15" ht="25.95" customHeight="1" x14ac:dyDescent="0.75">
      <c r="A30" s="378" t="s">
        <v>258</v>
      </c>
      <c r="B30" s="211"/>
      <c r="C30" s="259" t="s">
        <v>428</v>
      </c>
      <c r="D30" s="259"/>
      <c r="E30" s="259"/>
      <c r="F30" s="259"/>
      <c r="G30" s="259"/>
      <c r="H30" s="259"/>
      <c r="I30" s="259"/>
      <c r="J30" s="259"/>
      <c r="K30" s="259"/>
      <c r="L30" s="259"/>
      <c r="M30" s="259"/>
      <c r="N30" s="259"/>
      <c r="O30" s="259"/>
    </row>
    <row r="31" spans="1:15" ht="15" customHeight="1" x14ac:dyDescent="0.75">
      <c r="A31" s="378" t="s">
        <v>418</v>
      </c>
      <c r="B31" s="211"/>
      <c r="C31" s="411" t="s">
        <v>630</v>
      </c>
      <c r="D31" s="411"/>
      <c r="E31" s="411"/>
      <c r="F31" s="411"/>
      <c r="G31" s="411"/>
      <c r="H31" s="411"/>
      <c r="I31" s="411"/>
      <c r="J31" s="411"/>
      <c r="K31" s="411"/>
      <c r="L31" s="411"/>
      <c r="M31" s="411"/>
      <c r="N31" s="411"/>
      <c r="O31" s="411"/>
    </row>
    <row r="32" spans="1:15" ht="25.95" customHeight="1" x14ac:dyDescent="0.75">
      <c r="A32" s="378" t="s">
        <v>261</v>
      </c>
      <c r="B32" s="211"/>
      <c r="C32" s="410" t="s">
        <v>631</v>
      </c>
      <c r="D32" s="410"/>
      <c r="E32" s="410"/>
      <c r="F32" s="410"/>
      <c r="G32" s="410"/>
      <c r="H32" s="410"/>
      <c r="I32" s="410"/>
      <c r="J32" s="410"/>
      <c r="K32" s="410"/>
      <c r="L32" s="410"/>
      <c r="M32" s="410"/>
      <c r="N32" s="410"/>
      <c r="O32" s="410"/>
    </row>
    <row r="33" spans="1:15" ht="14.75" customHeight="1" x14ac:dyDescent="0.75">
      <c r="A33" s="378" t="s">
        <v>314</v>
      </c>
      <c r="B33" s="211"/>
      <c r="C33" s="409" t="s">
        <v>632</v>
      </c>
      <c r="D33" s="409"/>
      <c r="E33" s="409"/>
      <c r="F33" s="409"/>
      <c r="G33" s="409"/>
      <c r="H33" s="409"/>
      <c r="I33" s="409"/>
      <c r="J33" s="409"/>
      <c r="K33" s="409"/>
      <c r="L33" s="409"/>
      <c r="M33" s="409"/>
      <c r="N33" s="409"/>
      <c r="O33" s="409"/>
    </row>
    <row r="34" spans="1:15" ht="15" customHeight="1" x14ac:dyDescent="0.75">
      <c r="A34" s="77"/>
      <c r="B34" s="78"/>
      <c r="C34" s="74"/>
      <c r="D34" s="75"/>
      <c r="E34" s="75"/>
      <c r="F34" s="75"/>
      <c r="G34" s="75"/>
      <c r="H34" s="75"/>
      <c r="I34" s="75"/>
      <c r="J34" s="75"/>
      <c r="K34" s="75"/>
      <c r="L34" s="75"/>
      <c r="M34" s="75"/>
      <c r="N34" s="75"/>
      <c r="O34" s="76"/>
    </row>
    <row r="35" spans="1:15" ht="15" customHeight="1" x14ac:dyDescent="0.75">
      <c r="A35" s="72"/>
      <c r="B35" s="73"/>
      <c r="C35" s="380"/>
      <c r="D35" s="210"/>
      <c r="E35" s="210"/>
      <c r="F35" s="210"/>
      <c r="G35" s="210"/>
      <c r="H35" s="210"/>
      <c r="I35" s="210"/>
      <c r="J35" s="210"/>
      <c r="K35" s="210"/>
      <c r="L35" s="210"/>
      <c r="M35" s="210"/>
      <c r="N35" s="210"/>
      <c r="O35" s="211"/>
    </row>
    <row r="36" spans="1:15" ht="14.25" customHeight="1" x14ac:dyDescent="0.75">
      <c r="A36" s="381"/>
      <c r="B36" s="211"/>
      <c r="C36" s="373"/>
      <c r="D36" s="210"/>
      <c r="E36" s="210"/>
      <c r="F36" s="210"/>
      <c r="G36" s="210"/>
      <c r="H36" s="210"/>
      <c r="I36" s="210"/>
      <c r="J36" s="210"/>
      <c r="K36" s="210"/>
      <c r="L36" s="210"/>
      <c r="M36" s="210"/>
      <c r="N36" s="210"/>
      <c r="O36" s="211"/>
    </row>
  </sheetData>
  <mergeCells count="70">
    <mergeCell ref="C28:O28"/>
    <mergeCell ref="C29:O29"/>
    <mergeCell ref="C30:O30"/>
    <mergeCell ref="A24:B24"/>
    <mergeCell ref="A25:B25"/>
    <mergeCell ref="A26:B26"/>
    <mergeCell ref="A27:B27"/>
    <mergeCell ref="A28:B28"/>
    <mergeCell ref="A29:B29"/>
    <mergeCell ref="A30:B30"/>
    <mergeCell ref="C24:O24"/>
    <mergeCell ref="A31:B31"/>
    <mergeCell ref="A32:B32"/>
    <mergeCell ref="A33:B33"/>
    <mergeCell ref="A1:O1"/>
    <mergeCell ref="C21:O21"/>
    <mergeCell ref="H14:I14"/>
    <mergeCell ref="J17:K17"/>
    <mergeCell ref="C2:G2"/>
    <mergeCell ref="M16:O16"/>
    <mergeCell ref="I3:I4"/>
    <mergeCell ref="J5:J9"/>
    <mergeCell ref="A3:A9"/>
    <mergeCell ref="B3:B4"/>
    <mergeCell ref="K3:O9"/>
    <mergeCell ref="D3:G3"/>
    <mergeCell ref="I5:I9"/>
    <mergeCell ref="C35:O35"/>
    <mergeCell ref="K2:O2"/>
    <mergeCell ref="H3:H4"/>
    <mergeCell ref="C20:O20"/>
    <mergeCell ref="H5:H9"/>
    <mergeCell ref="H19:I19"/>
    <mergeCell ref="J3:J4"/>
    <mergeCell ref="H13:O13"/>
    <mergeCell ref="H12:O12"/>
    <mergeCell ref="C22:O22"/>
    <mergeCell ref="C31:O31"/>
    <mergeCell ref="C3:C4"/>
    <mergeCell ref="H15:I15"/>
    <mergeCell ref="H18:I18"/>
    <mergeCell ref="J18:K18"/>
    <mergeCell ref="H2:J2"/>
    <mergeCell ref="H17:I17"/>
    <mergeCell ref="M14:O14"/>
    <mergeCell ref="A12:B12"/>
    <mergeCell ref="J14:K14"/>
    <mergeCell ref="A10:G10"/>
    <mergeCell ref="M15:O15"/>
    <mergeCell ref="A13:G19"/>
    <mergeCell ref="M18:O18"/>
    <mergeCell ref="J15:K15"/>
    <mergeCell ref="M17:O17"/>
    <mergeCell ref="A11:G11"/>
    <mergeCell ref="A36:B36"/>
    <mergeCell ref="H10:O10"/>
    <mergeCell ref="J19:K19"/>
    <mergeCell ref="C33:O33"/>
    <mergeCell ref="A21:B21"/>
    <mergeCell ref="M19:O19"/>
    <mergeCell ref="H16:I16"/>
    <mergeCell ref="H11:O11"/>
    <mergeCell ref="J16:K16"/>
    <mergeCell ref="A23:B23"/>
    <mergeCell ref="A22:B22"/>
    <mergeCell ref="A20:B20"/>
    <mergeCell ref="C36:O36"/>
    <mergeCell ref="D12:G12"/>
    <mergeCell ref="C23:O23"/>
    <mergeCell ref="C32:O32"/>
  </mergeCells>
  <pageMargins left="0.75" right="0.75" top="1" bottom="1" header="0.511811023622047" footer="0.511811023622047"/>
  <pageSetup paperSize="9" orientation="portrait" horizontalDpi="300" verticalDpi="3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Views>
    <sheetView topLeftCell="A16" zoomScale="80" zoomScaleNormal="100" workbookViewId="0">
      <selection activeCell="B38" sqref="B38"/>
    </sheetView>
  </sheetViews>
  <sheetFormatPr baseColWidth="10" defaultColWidth="8.76953125" defaultRowHeight="14.75" x14ac:dyDescent="0.75"/>
  <cols>
    <col min="1" max="1" width="35.2265625" style="124" customWidth="1"/>
    <col min="2" max="2" width="25.76953125" style="124" customWidth="1"/>
    <col min="4" max="4" width="10" style="124" customWidth="1"/>
    <col min="8" max="8" width="18.54296875" style="124" customWidth="1"/>
    <col min="9" max="9" width="13.2265625" style="124" customWidth="1"/>
    <col min="10" max="10" width="13.453125" style="124" customWidth="1"/>
    <col min="11" max="11" width="2.2265625" style="124"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9" customHeight="1" x14ac:dyDescent="0.75">
      <c r="A2" s="126" t="s">
        <v>214</v>
      </c>
      <c r="B2" s="126" t="s">
        <v>215</v>
      </c>
      <c r="C2" s="261" t="s">
        <v>216</v>
      </c>
      <c r="D2" s="210"/>
      <c r="E2" s="210"/>
      <c r="F2" s="210"/>
      <c r="G2" s="211"/>
      <c r="H2" s="264" t="s">
        <v>414</v>
      </c>
      <c r="I2" s="210"/>
      <c r="J2" s="211"/>
      <c r="K2" s="261" t="s">
        <v>415</v>
      </c>
      <c r="L2" s="210"/>
      <c r="M2" s="210"/>
      <c r="N2" s="210"/>
      <c r="O2" s="211"/>
    </row>
    <row r="3" spans="1:15" ht="14.25" customHeight="1" x14ac:dyDescent="0.75">
      <c r="A3" s="372" t="s">
        <v>156</v>
      </c>
      <c r="B3" s="240"/>
      <c r="C3" s="254" t="s">
        <v>219</v>
      </c>
      <c r="D3" s="240" t="s">
        <v>220</v>
      </c>
      <c r="E3" s="210"/>
      <c r="F3" s="210"/>
      <c r="G3" s="211"/>
      <c r="H3" s="254" t="s">
        <v>38</v>
      </c>
      <c r="I3" s="254" t="s">
        <v>221</v>
      </c>
      <c r="J3" s="254" t="s">
        <v>222</v>
      </c>
      <c r="K3" s="374"/>
      <c r="L3" s="242"/>
      <c r="M3" s="242"/>
      <c r="N3" s="242"/>
      <c r="O3" s="243"/>
    </row>
    <row r="4" spans="1:15" ht="62.25" customHeight="1" x14ac:dyDescent="0.75">
      <c r="A4" s="224"/>
      <c r="B4" s="213"/>
      <c r="C4" s="213"/>
      <c r="D4" s="129">
        <v>2024</v>
      </c>
      <c r="E4" s="129">
        <v>2025</v>
      </c>
      <c r="F4" s="129">
        <v>2026</v>
      </c>
      <c r="G4" s="129">
        <v>2027</v>
      </c>
      <c r="H4" s="213"/>
      <c r="I4" s="213"/>
      <c r="J4" s="213"/>
      <c r="K4" s="244"/>
      <c r="L4" s="207"/>
      <c r="M4" s="207"/>
      <c r="N4" s="207"/>
      <c r="O4" s="245"/>
    </row>
    <row r="5" spans="1:15" ht="14.25" customHeight="1" x14ac:dyDescent="0.75">
      <c r="A5" s="224"/>
      <c r="B5" s="130" t="s">
        <v>224</v>
      </c>
      <c r="C5" s="66" t="s">
        <v>158</v>
      </c>
      <c r="D5" s="66"/>
      <c r="E5" s="66"/>
      <c r="F5" s="66"/>
      <c r="G5" s="66"/>
      <c r="H5" s="262" t="s">
        <v>385</v>
      </c>
      <c r="I5" s="262" t="s">
        <v>532</v>
      </c>
      <c r="J5" s="241" t="s">
        <v>46</v>
      </c>
      <c r="K5" s="244"/>
      <c r="L5" s="207"/>
      <c r="M5" s="207"/>
      <c r="N5" s="207"/>
      <c r="O5" s="245"/>
    </row>
    <row r="6" spans="1:15" ht="15" customHeight="1" x14ac:dyDescent="0.75">
      <c r="A6" s="224"/>
      <c r="B6" s="130" t="s">
        <v>227</v>
      </c>
      <c r="C6" s="66" t="s">
        <v>158</v>
      </c>
      <c r="D6" s="67"/>
      <c r="E6" s="67"/>
      <c r="F6" s="67"/>
      <c r="G6" s="67"/>
      <c r="H6" s="224"/>
      <c r="I6" s="224"/>
      <c r="J6" s="224"/>
      <c r="K6" s="244"/>
      <c r="L6" s="207"/>
      <c r="M6" s="207"/>
      <c r="N6" s="207"/>
      <c r="O6" s="245"/>
    </row>
    <row r="7" spans="1:15" ht="15" customHeight="1" x14ac:dyDescent="0.75">
      <c r="A7" s="224"/>
      <c r="B7" s="130" t="s">
        <v>228</v>
      </c>
      <c r="C7" s="116" t="s">
        <v>158</v>
      </c>
      <c r="D7" s="68"/>
      <c r="E7" s="68"/>
      <c r="F7" s="68"/>
      <c r="G7" s="68"/>
      <c r="H7" s="224"/>
      <c r="I7" s="224"/>
      <c r="J7" s="224"/>
      <c r="K7" s="244"/>
      <c r="L7" s="207"/>
      <c r="M7" s="207"/>
      <c r="N7" s="207"/>
      <c r="O7" s="245"/>
    </row>
    <row r="8" spans="1:15" ht="15" customHeight="1" x14ac:dyDescent="0.75">
      <c r="A8" s="224"/>
      <c r="B8" s="130" t="s">
        <v>229</v>
      </c>
      <c r="C8" s="116" t="s">
        <v>533</v>
      </c>
      <c r="D8" s="68"/>
      <c r="E8" s="68"/>
      <c r="F8" s="68"/>
      <c r="G8" s="68"/>
      <c r="H8" s="224"/>
      <c r="I8" s="224"/>
      <c r="J8" s="224"/>
      <c r="K8" s="244"/>
      <c r="L8" s="207"/>
      <c r="M8" s="207"/>
      <c r="N8" s="207"/>
      <c r="O8" s="245"/>
    </row>
    <row r="9" spans="1:15" ht="15" customHeight="1" x14ac:dyDescent="0.75">
      <c r="A9" s="213"/>
      <c r="B9" s="51" t="s">
        <v>230</v>
      </c>
      <c r="C9" s="69"/>
      <c r="D9" s="70"/>
      <c r="E9" s="70"/>
      <c r="F9" s="70"/>
      <c r="G9" s="70"/>
      <c r="H9" s="213"/>
      <c r="I9" s="213"/>
      <c r="J9" s="213"/>
      <c r="K9" s="246"/>
      <c r="L9" s="216"/>
      <c r="M9" s="216"/>
      <c r="N9" s="216"/>
      <c r="O9" s="247"/>
    </row>
    <row r="10" spans="1:15" ht="14.25" customHeight="1" x14ac:dyDescent="0.75">
      <c r="A10" s="258" t="s">
        <v>18</v>
      </c>
      <c r="B10" s="210"/>
      <c r="C10" s="210"/>
      <c r="D10" s="210"/>
      <c r="E10" s="210"/>
      <c r="F10" s="210"/>
      <c r="G10" s="211"/>
      <c r="H10" s="375" t="s">
        <v>61</v>
      </c>
      <c r="I10" s="210"/>
      <c r="J10" s="210"/>
      <c r="K10" s="210"/>
      <c r="L10" s="210"/>
      <c r="M10" s="210"/>
      <c r="N10" s="210"/>
      <c r="O10" s="211"/>
    </row>
    <row r="11" spans="1:15" ht="15.75" customHeight="1" x14ac:dyDescent="0.75">
      <c r="A11" s="379" t="s">
        <v>20</v>
      </c>
      <c r="B11" s="210"/>
      <c r="C11" s="210"/>
      <c r="D11" s="210"/>
      <c r="E11" s="210"/>
      <c r="F11" s="210"/>
      <c r="G11" s="211"/>
      <c r="H11" s="375" t="s">
        <v>144</v>
      </c>
      <c r="I11" s="210"/>
      <c r="J11" s="210"/>
      <c r="K11" s="210"/>
      <c r="L11" s="210"/>
      <c r="M11" s="210"/>
      <c r="N11" s="210"/>
      <c r="O11" s="211"/>
    </row>
    <row r="12" spans="1:15" ht="14.25" customHeight="1" x14ac:dyDescent="0.75">
      <c r="A12" s="375" t="s">
        <v>416</v>
      </c>
      <c r="B12" s="211"/>
      <c r="C12" s="71"/>
      <c r="D12" s="372" t="str">
        <f>A3</f>
        <v>IR3.1.4</v>
      </c>
      <c r="E12" s="210"/>
      <c r="F12" s="210"/>
      <c r="G12" s="211"/>
      <c r="H12" s="382" t="s">
        <v>157</v>
      </c>
      <c r="I12" s="210"/>
      <c r="J12" s="210"/>
      <c r="K12" s="210"/>
      <c r="L12" s="210"/>
      <c r="M12" s="210"/>
      <c r="N12" s="210"/>
      <c r="O12" s="211"/>
    </row>
    <row r="13" spans="1:15" ht="14.25" customHeight="1" x14ac:dyDescent="0.75">
      <c r="A13" s="268" t="s">
        <v>417</v>
      </c>
      <c r="B13" s="242"/>
      <c r="C13" s="242"/>
      <c r="D13" s="242"/>
      <c r="E13" s="242"/>
      <c r="F13" s="242"/>
      <c r="G13" s="243"/>
      <c r="H13" s="240" t="s">
        <v>235</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c r="M14" s="240"/>
      <c r="N14" s="210"/>
      <c r="O14" s="211"/>
    </row>
    <row r="15" spans="1:15" ht="15.75" customHeight="1" x14ac:dyDescent="0.75">
      <c r="A15" s="244"/>
      <c r="B15" s="207"/>
      <c r="C15" s="207"/>
      <c r="D15" s="207"/>
      <c r="E15" s="207"/>
      <c r="F15" s="207"/>
      <c r="G15" s="245"/>
      <c r="H15" s="240" t="s">
        <v>240</v>
      </c>
      <c r="I15" s="211"/>
      <c r="J15" s="241"/>
      <c r="K15" s="211"/>
      <c r="L15" s="53"/>
      <c r="M15" s="252"/>
      <c r="N15" s="210"/>
      <c r="O15" s="211"/>
    </row>
    <row r="16" spans="1:15" ht="15.75" customHeight="1" x14ac:dyDescent="0.75">
      <c r="A16" s="244"/>
      <c r="B16" s="207"/>
      <c r="C16" s="207"/>
      <c r="D16" s="207"/>
      <c r="E16" s="207"/>
      <c r="F16" s="207"/>
      <c r="G16" s="245"/>
      <c r="H16" s="240">
        <v>2024</v>
      </c>
      <c r="I16" s="211"/>
      <c r="J16" s="372"/>
      <c r="K16" s="211"/>
      <c r="L16" s="53"/>
      <c r="M16" s="396"/>
      <c r="N16" s="210"/>
      <c r="O16" s="211"/>
    </row>
    <row r="17" spans="1:15" ht="15.75" customHeight="1" x14ac:dyDescent="0.75">
      <c r="A17" s="244"/>
      <c r="B17" s="207"/>
      <c r="C17" s="207"/>
      <c r="D17" s="207"/>
      <c r="E17" s="207"/>
      <c r="F17" s="207"/>
      <c r="G17" s="245"/>
      <c r="H17" s="240">
        <v>2025</v>
      </c>
      <c r="I17" s="211"/>
      <c r="J17" s="372"/>
      <c r="K17" s="211"/>
      <c r="L17" s="53"/>
      <c r="M17" s="396"/>
      <c r="N17" s="210"/>
      <c r="O17" s="211"/>
    </row>
    <row r="18" spans="1:15" ht="15.75" customHeight="1" x14ac:dyDescent="0.75">
      <c r="A18" s="244"/>
      <c r="B18" s="207"/>
      <c r="C18" s="207"/>
      <c r="D18" s="207"/>
      <c r="E18" s="207"/>
      <c r="F18" s="207"/>
      <c r="G18" s="245"/>
      <c r="H18" s="240">
        <v>2026</v>
      </c>
      <c r="I18" s="211"/>
      <c r="J18" s="372"/>
      <c r="K18" s="211"/>
      <c r="L18" s="53"/>
      <c r="M18" s="396"/>
      <c r="N18" s="210"/>
      <c r="O18" s="211"/>
    </row>
    <row r="19" spans="1:15" ht="24.75" customHeight="1" x14ac:dyDescent="0.75">
      <c r="A19" s="246"/>
      <c r="B19" s="216"/>
      <c r="C19" s="216"/>
      <c r="D19" s="216"/>
      <c r="E19" s="216"/>
      <c r="F19" s="216"/>
      <c r="G19" s="247"/>
      <c r="H19" s="240">
        <v>2027</v>
      </c>
      <c r="I19" s="211"/>
      <c r="J19" s="372"/>
      <c r="K19" s="211"/>
      <c r="L19" s="53"/>
      <c r="M19" s="396"/>
      <c r="N19" s="210"/>
      <c r="O19" s="211"/>
    </row>
    <row r="20" spans="1:15" ht="14.25" customHeight="1" x14ac:dyDescent="0.75">
      <c r="A20" s="415" t="s">
        <v>241</v>
      </c>
      <c r="B20" s="416"/>
      <c r="C20" s="412" t="s">
        <v>621</v>
      </c>
      <c r="D20" s="413"/>
      <c r="E20" s="413"/>
      <c r="F20" s="413"/>
      <c r="G20" s="413"/>
      <c r="H20" s="413"/>
      <c r="I20" s="413"/>
      <c r="J20" s="413"/>
      <c r="K20" s="413"/>
      <c r="L20" s="413"/>
      <c r="M20" s="413"/>
      <c r="N20" s="413"/>
      <c r="O20" s="414"/>
    </row>
    <row r="21" spans="1:15" ht="14.25" customHeight="1" x14ac:dyDescent="0.75">
      <c r="A21" s="415" t="s">
        <v>242</v>
      </c>
      <c r="B21" s="416"/>
      <c r="C21" s="412" t="s">
        <v>622</v>
      </c>
      <c r="D21" s="413"/>
      <c r="E21" s="413"/>
      <c r="F21" s="413"/>
      <c r="G21" s="413"/>
      <c r="H21" s="413"/>
      <c r="I21" s="413"/>
      <c r="J21" s="413"/>
      <c r="K21" s="413"/>
      <c r="L21" s="413"/>
      <c r="M21" s="413"/>
      <c r="N21" s="413"/>
      <c r="O21" s="414"/>
    </row>
    <row r="22" spans="1:15" x14ac:dyDescent="0.75">
      <c r="A22" s="415" t="s">
        <v>243</v>
      </c>
      <c r="B22" s="416"/>
      <c r="C22" s="412" t="s">
        <v>623</v>
      </c>
      <c r="D22" s="413"/>
      <c r="E22" s="413"/>
      <c r="F22" s="413"/>
      <c r="G22" s="413"/>
      <c r="H22" s="413"/>
      <c r="I22" s="413"/>
      <c r="J22" s="413"/>
      <c r="K22" s="413"/>
      <c r="L22" s="413"/>
      <c r="M22" s="413"/>
      <c r="N22" s="413"/>
      <c r="O22" s="414"/>
    </row>
    <row r="23" spans="1:15" x14ac:dyDescent="0.75">
      <c r="A23" s="415" t="s">
        <v>276</v>
      </c>
      <c r="B23" s="416"/>
      <c r="C23" s="412" t="s">
        <v>624</v>
      </c>
      <c r="D23" s="413"/>
      <c r="E23" s="413"/>
      <c r="F23" s="413"/>
      <c r="G23" s="413"/>
      <c r="H23" s="413"/>
      <c r="I23" s="413"/>
      <c r="J23" s="413"/>
      <c r="K23" s="413"/>
      <c r="L23" s="413"/>
      <c r="M23" s="413"/>
      <c r="N23" s="413"/>
      <c r="O23" s="414"/>
    </row>
    <row r="24" spans="1:15" x14ac:dyDescent="0.75">
      <c r="A24" s="415" t="s">
        <v>278</v>
      </c>
      <c r="B24" s="416"/>
      <c r="C24" s="412" t="s">
        <v>625</v>
      </c>
      <c r="D24" s="413"/>
      <c r="E24" s="413"/>
      <c r="F24" s="413"/>
      <c r="G24" s="413"/>
      <c r="H24" s="413"/>
      <c r="I24" s="413"/>
      <c r="J24" s="413"/>
      <c r="K24" s="413"/>
      <c r="L24" s="413"/>
      <c r="M24" s="413"/>
      <c r="N24" s="413"/>
      <c r="O24" s="414"/>
    </row>
    <row r="25" spans="1:15" x14ac:dyDescent="0.75">
      <c r="A25" s="415" t="s">
        <v>306</v>
      </c>
      <c r="B25" s="416"/>
      <c r="C25" s="412" t="s">
        <v>626</v>
      </c>
      <c r="D25" s="413"/>
      <c r="E25" s="413"/>
      <c r="F25" s="413"/>
      <c r="G25" s="413"/>
      <c r="H25" s="413"/>
      <c r="I25" s="413"/>
      <c r="J25" s="413"/>
      <c r="K25" s="413"/>
      <c r="L25" s="413"/>
      <c r="M25" s="413"/>
      <c r="N25" s="413"/>
      <c r="O25" s="414"/>
    </row>
    <row r="26" spans="1:15" x14ac:dyDescent="0.75">
      <c r="A26" s="415" t="s">
        <v>251</v>
      </c>
      <c r="B26" s="416"/>
      <c r="C26" s="412" t="s">
        <v>627</v>
      </c>
      <c r="D26" s="413"/>
      <c r="E26" s="413"/>
      <c r="F26" s="413"/>
      <c r="G26" s="413"/>
      <c r="H26" s="413"/>
      <c r="I26" s="413"/>
      <c r="J26" s="413"/>
      <c r="K26" s="413"/>
      <c r="L26" s="413"/>
      <c r="M26" s="413"/>
      <c r="N26" s="413"/>
      <c r="O26" s="414"/>
    </row>
    <row r="27" spans="1:15" x14ac:dyDescent="0.75">
      <c r="A27" s="415" t="s">
        <v>253</v>
      </c>
      <c r="B27" s="416"/>
      <c r="C27" s="412" t="s">
        <v>633</v>
      </c>
      <c r="D27" s="413"/>
      <c r="E27" s="413"/>
      <c r="F27" s="413"/>
      <c r="G27" s="413"/>
      <c r="H27" s="413"/>
      <c r="I27" s="413"/>
      <c r="J27" s="413"/>
      <c r="K27" s="413"/>
      <c r="L27" s="413"/>
      <c r="M27" s="413"/>
      <c r="N27" s="413"/>
      <c r="O27" s="414"/>
    </row>
    <row r="28" spans="1:15" x14ac:dyDescent="0.75">
      <c r="A28" s="415" t="s">
        <v>283</v>
      </c>
      <c r="B28" s="416"/>
      <c r="C28" s="412" t="s">
        <v>628</v>
      </c>
      <c r="D28" s="413"/>
      <c r="E28" s="413"/>
      <c r="F28" s="413"/>
      <c r="G28" s="413"/>
      <c r="H28" s="413"/>
      <c r="I28" s="413"/>
      <c r="J28" s="413"/>
      <c r="K28" s="413"/>
      <c r="L28" s="413"/>
      <c r="M28" s="413"/>
      <c r="N28" s="413"/>
      <c r="O28" s="414"/>
    </row>
    <row r="29" spans="1:15" x14ac:dyDescent="0.75">
      <c r="A29" s="415" t="s">
        <v>334</v>
      </c>
      <c r="B29" s="416"/>
      <c r="C29" s="412" t="s">
        <v>629</v>
      </c>
      <c r="D29" s="413"/>
      <c r="E29" s="413"/>
      <c r="F29" s="413"/>
      <c r="G29" s="413"/>
      <c r="H29" s="413"/>
      <c r="I29" s="413"/>
      <c r="J29" s="413"/>
      <c r="K29" s="413"/>
      <c r="L29" s="413"/>
      <c r="M29" s="413"/>
      <c r="N29" s="413"/>
      <c r="O29" s="414"/>
    </row>
    <row r="30" spans="1:15" x14ac:dyDescent="0.75">
      <c r="A30" s="415" t="s">
        <v>258</v>
      </c>
      <c r="B30" s="416"/>
      <c r="C30" s="412" t="s">
        <v>634</v>
      </c>
      <c r="D30" s="413"/>
      <c r="E30" s="413"/>
      <c r="F30" s="413"/>
      <c r="G30" s="413"/>
      <c r="H30" s="413"/>
      <c r="I30" s="413"/>
      <c r="J30" s="413"/>
      <c r="K30" s="413"/>
      <c r="L30" s="413"/>
      <c r="M30" s="413"/>
      <c r="N30" s="413"/>
      <c r="O30" s="414"/>
    </row>
    <row r="31" spans="1:15" x14ac:dyDescent="0.75">
      <c r="A31" s="415" t="s">
        <v>418</v>
      </c>
      <c r="B31" s="416"/>
      <c r="C31" s="412" t="s">
        <v>630</v>
      </c>
      <c r="D31" s="413"/>
      <c r="E31" s="413"/>
      <c r="F31" s="413"/>
      <c r="G31" s="413"/>
      <c r="H31" s="413"/>
      <c r="I31" s="413"/>
      <c r="J31" s="413"/>
      <c r="K31" s="413"/>
      <c r="L31" s="413"/>
      <c r="M31" s="413"/>
      <c r="N31" s="413"/>
      <c r="O31" s="414"/>
    </row>
    <row r="32" spans="1:15" x14ac:dyDescent="0.75">
      <c r="A32" s="415" t="s">
        <v>261</v>
      </c>
      <c r="B32" s="416"/>
      <c r="C32" s="412" t="s">
        <v>631</v>
      </c>
      <c r="D32" s="413"/>
      <c r="E32" s="413"/>
      <c r="F32" s="413"/>
      <c r="G32" s="413"/>
      <c r="H32" s="413"/>
      <c r="I32" s="413"/>
      <c r="J32" s="413"/>
      <c r="K32" s="413"/>
      <c r="L32" s="413"/>
      <c r="M32" s="413"/>
      <c r="N32" s="413"/>
      <c r="O32" s="414"/>
    </row>
    <row r="33" spans="1:15" x14ac:dyDescent="0.75">
      <c r="A33" s="415" t="s">
        <v>314</v>
      </c>
      <c r="B33" s="416"/>
      <c r="C33" s="412" t="s">
        <v>632</v>
      </c>
      <c r="D33" s="413"/>
      <c r="E33" s="413"/>
      <c r="F33" s="413"/>
      <c r="G33" s="413"/>
      <c r="H33" s="413"/>
      <c r="I33" s="413"/>
      <c r="J33" s="413"/>
      <c r="K33" s="413"/>
      <c r="L33" s="413"/>
      <c r="M33" s="413"/>
      <c r="N33" s="413"/>
      <c r="O33" s="414"/>
    </row>
    <row r="34" spans="1:15" ht="15" customHeight="1" x14ac:dyDescent="0.75">
      <c r="A34" s="77"/>
      <c r="B34" s="78"/>
      <c r="C34" s="74"/>
      <c r="D34" s="75"/>
      <c r="E34" s="75"/>
      <c r="F34" s="75"/>
      <c r="G34" s="75"/>
      <c r="H34" s="75"/>
      <c r="I34" s="75"/>
      <c r="J34" s="75"/>
      <c r="K34" s="75"/>
      <c r="L34" s="75"/>
      <c r="M34" s="75"/>
      <c r="N34" s="75"/>
      <c r="O34" s="76"/>
    </row>
    <row r="35" spans="1:15" ht="15" customHeight="1" x14ac:dyDescent="0.75">
      <c r="A35" s="72"/>
      <c r="B35" s="73"/>
      <c r="C35" s="380"/>
      <c r="D35" s="210"/>
      <c r="E35" s="210"/>
      <c r="F35" s="210"/>
      <c r="G35" s="210"/>
      <c r="H35" s="210"/>
      <c r="I35" s="210"/>
      <c r="J35" s="210"/>
      <c r="K35" s="210"/>
      <c r="L35" s="210"/>
      <c r="M35" s="210"/>
      <c r="N35" s="210"/>
      <c r="O35" s="211"/>
    </row>
    <row r="36" spans="1:15" ht="14.25" customHeight="1" x14ac:dyDescent="0.75">
      <c r="A36" s="381"/>
      <c r="B36" s="211"/>
      <c r="C36" s="373"/>
      <c r="D36" s="210"/>
      <c r="E36" s="210"/>
      <c r="F36" s="210"/>
      <c r="G36" s="210"/>
      <c r="H36" s="210"/>
      <c r="I36" s="210"/>
      <c r="J36" s="210"/>
      <c r="K36" s="210"/>
      <c r="L36" s="210"/>
      <c r="M36" s="210"/>
      <c r="N36" s="210"/>
      <c r="O36" s="211"/>
    </row>
  </sheetData>
  <mergeCells count="73">
    <mergeCell ref="A33:B33"/>
    <mergeCell ref="C21:O21"/>
    <mergeCell ref="C25:O25"/>
    <mergeCell ref="C26:O26"/>
    <mergeCell ref="C27:O27"/>
    <mergeCell ref="C28:O28"/>
    <mergeCell ref="C29:O29"/>
    <mergeCell ref="C30:O30"/>
    <mergeCell ref="A28:B28"/>
    <mergeCell ref="A29:B29"/>
    <mergeCell ref="A30:B30"/>
    <mergeCell ref="A31:B31"/>
    <mergeCell ref="A32:B32"/>
    <mergeCell ref="A24:B24"/>
    <mergeCell ref="A25:B25"/>
    <mergeCell ref="A26:B26"/>
    <mergeCell ref="A27:B27"/>
    <mergeCell ref="A1:O1"/>
    <mergeCell ref="H14:I14"/>
    <mergeCell ref="J17:K17"/>
    <mergeCell ref="C2:G2"/>
    <mergeCell ref="M16:O16"/>
    <mergeCell ref="I3:I4"/>
    <mergeCell ref="J5:J9"/>
    <mergeCell ref="A3:A9"/>
    <mergeCell ref="B3:B4"/>
    <mergeCell ref="K3:O9"/>
    <mergeCell ref="D3:G3"/>
    <mergeCell ref="I5:I9"/>
    <mergeCell ref="C24:O24"/>
    <mergeCell ref="H17:I17"/>
    <mergeCell ref="M14:O14"/>
    <mergeCell ref="C35:O35"/>
    <mergeCell ref="K2:O2"/>
    <mergeCell ref="H3:H4"/>
    <mergeCell ref="C20:O20"/>
    <mergeCell ref="H5:H9"/>
    <mergeCell ref="H19:I19"/>
    <mergeCell ref="J3:J4"/>
    <mergeCell ref="H13:O13"/>
    <mergeCell ref="H12:O12"/>
    <mergeCell ref="C22:O22"/>
    <mergeCell ref="C31:O31"/>
    <mergeCell ref="C3:C4"/>
    <mergeCell ref="H15:I15"/>
    <mergeCell ref="H18:I18"/>
    <mergeCell ref="J18:K18"/>
    <mergeCell ref="H2:J2"/>
    <mergeCell ref="A12:B12"/>
    <mergeCell ref="J14:K14"/>
    <mergeCell ref="A10:G10"/>
    <mergeCell ref="M15:O15"/>
    <mergeCell ref="A13:G19"/>
    <mergeCell ref="M18:O18"/>
    <mergeCell ref="J15:K15"/>
    <mergeCell ref="M17:O17"/>
    <mergeCell ref="A11:G11"/>
    <mergeCell ref="A36:B36"/>
    <mergeCell ref="H10:O10"/>
    <mergeCell ref="J19:K19"/>
    <mergeCell ref="C33:O33"/>
    <mergeCell ref="A21:B21"/>
    <mergeCell ref="M19:O19"/>
    <mergeCell ref="H16:I16"/>
    <mergeCell ref="H11:O11"/>
    <mergeCell ref="J16:K16"/>
    <mergeCell ref="A23:B23"/>
    <mergeCell ref="A22:B22"/>
    <mergeCell ref="A20:B20"/>
    <mergeCell ref="C36:O36"/>
    <mergeCell ref="D12:G12"/>
    <mergeCell ref="C23:O23"/>
    <mergeCell ref="C32:O32"/>
  </mergeCell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opLeftCell="A16" zoomScaleNormal="100" workbookViewId="0">
      <selection activeCell="B27" sqref="B27"/>
    </sheetView>
  </sheetViews>
  <sheetFormatPr baseColWidth="10" defaultColWidth="11.453125" defaultRowHeight="14.75" x14ac:dyDescent="0.75"/>
  <cols>
    <col min="1" max="1" width="11.453125" style="153"/>
    <col min="2" max="2" width="25.76953125" style="153" customWidth="1"/>
    <col min="3" max="3" width="11.453125" style="153"/>
    <col min="4" max="7" width="5.453125" style="153" customWidth="1"/>
    <col min="8" max="9" width="11.453125" style="153"/>
    <col min="10" max="10" width="13.453125" style="153" customWidth="1"/>
    <col min="11" max="11" width="0.453125" style="153" customWidth="1"/>
    <col min="12" max="14" width="11.453125" style="153"/>
    <col min="15" max="15" width="4.76953125" style="153" customWidth="1"/>
    <col min="16" max="16384" width="11.453125" style="153"/>
  </cols>
  <sheetData>
    <row r="1" spans="1:15" ht="18" customHeight="1" x14ac:dyDescent="0.75">
      <c r="A1" s="425" t="s">
        <v>213</v>
      </c>
      <c r="B1" s="330"/>
      <c r="C1" s="330"/>
      <c r="D1" s="330"/>
      <c r="E1" s="330"/>
      <c r="F1" s="330"/>
      <c r="G1" s="330"/>
      <c r="H1" s="330"/>
      <c r="I1" s="330"/>
      <c r="J1" s="330"/>
      <c r="K1" s="330"/>
      <c r="L1" s="330"/>
      <c r="M1" s="330"/>
      <c r="N1" s="330"/>
      <c r="O1" s="330"/>
    </row>
    <row r="2" spans="1:15" ht="39" customHeight="1" x14ac:dyDescent="0.75">
      <c r="A2" s="154" t="s">
        <v>214</v>
      </c>
      <c r="B2" s="154" t="s">
        <v>215</v>
      </c>
      <c r="C2" s="340" t="s">
        <v>216</v>
      </c>
      <c r="D2" s="319"/>
      <c r="E2" s="319"/>
      <c r="F2" s="319"/>
      <c r="G2" s="320"/>
      <c r="H2" s="344" t="s">
        <v>414</v>
      </c>
      <c r="I2" s="319"/>
      <c r="J2" s="320"/>
      <c r="K2" s="340" t="s">
        <v>415</v>
      </c>
      <c r="L2" s="319"/>
      <c r="M2" s="319"/>
      <c r="N2" s="319"/>
      <c r="O2" s="320"/>
    </row>
    <row r="3" spans="1:15" ht="14.25" customHeight="1" x14ac:dyDescent="0.75">
      <c r="A3" s="417" t="s">
        <v>163</v>
      </c>
      <c r="B3" s="322"/>
      <c r="C3" s="338" t="s">
        <v>219</v>
      </c>
      <c r="D3" s="322" t="s">
        <v>220</v>
      </c>
      <c r="E3" s="319"/>
      <c r="F3" s="319"/>
      <c r="G3" s="320"/>
      <c r="H3" s="338" t="s">
        <v>38</v>
      </c>
      <c r="I3" s="338" t="s">
        <v>221</v>
      </c>
      <c r="J3" s="338" t="s">
        <v>222</v>
      </c>
      <c r="K3" s="364" t="s">
        <v>534</v>
      </c>
      <c r="L3" s="327"/>
      <c r="M3" s="327"/>
      <c r="N3" s="327"/>
      <c r="O3" s="328"/>
    </row>
    <row r="4" spans="1:15" ht="62.25" customHeight="1" x14ac:dyDescent="0.75">
      <c r="A4" s="324"/>
      <c r="B4" s="325"/>
      <c r="C4" s="325"/>
      <c r="D4" s="155">
        <v>2024</v>
      </c>
      <c r="E4" s="155">
        <v>2025</v>
      </c>
      <c r="F4" s="155">
        <v>2026</v>
      </c>
      <c r="G4" s="155">
        <v>2027</v>
      </c>
      <c r="H4" s="325"/>
      <c r="I4" s="325"/>
      <c r="J4" s="325"/>
      <c r="K4" s="329"/>
      <c r="L4" s="330"/>
      <c r="M4" s="330"/>
      <c r="N4" s="330"/>
      <c r="O4" s="331"/>
    </row>
    <row r="5" spans="1:15" ht="14.25" customHeight="1" x14ac:dyDescent="0.75">
      <c r="A5" s="324"/>
      <c r="B5" s="156" t="s">
        <v>224</v>
      </c>
      <c r="C5" s="181"/>
      <c r="D5" s="181"/>
      <c r="E5" s="181"/>
      <c r="F5" s="181"/>
      <c r="G5" s="181"/>
      <c r="H5" s="341" t="s">
        <v>520</v>
      </c>
      <c r="I5" s="323" t="s">
        <v>521</v>
      </c>
      <c r="J5" s="323" t="s">
        <v>46</v>
      </c>
      <c r="K5" s="329"/>
      <c r="L5" s="330"/>
      <c r="M5" s="330"/>
      <c r="N5" s="330"/>
      <c r="O5" s="331"/>
    </row>
    <row r="6" spans="1:15" ht="15" customHeight="1" x14ac:dyDescent="0.75">
      <c r="A6" s="324"/>
      <c r="B6" s="156" t="s">
        <v>227</v>
      </c>
      <c r="C6" s="181"/>
      <c r="D6" s="181"/>
      <c r="E6" s="181"/>
      <c r="F6" s="181"/>
      <c r="G6" s="181"/>
      <c r="H6" s="324"/>
      <c r="I6" s="324"/>
      <c r="J6" s="324"/>
      <c r="K6" s="329"/>
      <c r="L6" s="330"/>
      <c r="M6" s="330"/>
      <c r="N6" s="330"/>
      <c r="O6" s="331"/>
    </row>
    <row r="7" spans="1:15" ht="15" customHeight="1" x14ac:dyDescent="0.75">
      <c r="A7" s="324"/>
      <c r="B7" s="156" t="s">
        <v>228</v>
      </c>
      <c r="C7" s="182"/>
      <c r="D7" s="182"/>
      <c r="E7" s="182"/>
      <c r="F7" s="182"/>
      <c r="G7" s="182"/>
      <c r="H7" s="324"/>
      <c r="I7" s="324"/>
      <c r="J7" s="324"/>
      <c r="K7" s="329"/>
      <c r="L7" s="330"/>
      <c r="M7" s="330"/>
      <c r="N7" s="330"/>
      <c r="O7" s="331"/>
    </row>
    <row r="8" spans="1:15" ht="15" customHeight="1" x14ac:dyDescent="0.75">
      <c r="A8" s="325"/>
      <c r="B8" s="156" t="s">
        <v>229</v>
      </c>
      <c r="C8" s="182"/>
      <c r="D8" s="182"/>
      <c r="E8" s="182"/>
      <c r="F8" s="182"/>
      <c r="G8" s="182"/>
      <c r="H8" s="324"/>
      <c r="I8" s="324"/>
      <c r="J8" s="324"/>
      <c r="K8" s="329"/>
      <c r="L8" s="330"/>
      <c r="M8" s="330"/>
      <c r="N8" s="330"/>
      <c r="O8" s="331"/>
    </row>
    <row r="9" spans="1:15" ht="15" customHeight="1" x14ac:dyDescent="0.75">
      <c r="A9" s="183"/>
      <c r="B9" s="159" t="s">
        <v>230</v>
      </c>
      <c r="C9" s="184"/>
      <c r="D9" s="184">
        <v>4</v>
      </c>
      <c r="E9" s="184">
        <v>6</v>
      </c>
      <c r="F9" s="184">
        <v>8</v>
      </c>
      <c r="G9" s="184">
        <v>10</v>
      </c>
      <c r="H9" s="325"/>
      <c r="I9" s="325"/>
      <c r="J9" s="325"/>
      <c r="K9" s="332"/>
      <c r="L9" s="333"/>
      <c r="M9" s="333"/>
      <c r="N9" s="333"/>
      <c r="O9" s="334"/>
    </row>
    <row r="10" spans="1:15" s="161" customFormat="1" ht="15.75" customHeight="1" x14ac:dyDescent="0.75">
      <c r="A10" s="318" t="s">
        <v>18</v>
      </c>
      <c r="B10" s="319"/>
      <c r="C10" s="319"/>
      <c r="D10" s="319"/>
      <c r="E10" s="319"/>
      <c r="F10" s="319"/>
      <c r="G10" s="320"/>
      <c r="H10" s="364" t="s">
        <v>522</v>
      </c>
      <c r="I10" s="319"/>
      <c r="J10" s="319"/>
      <c r="K10" s="319"/>
      <c r="L10" s="319"/>
      <c r="M10" s="319"/>
      <c r="N10" s="319"/>
      <c r="O10" s="320"/>
    </row>
    <row r="11" spans="1:15" s="161" customFormat="1" ht="15.75" customHeight="1" x14ac:dyDescent="0.75">
      <c r="A11" s="363" t="s">
        <v>20</v>
      </c>
      <c r="B11" s="319"/>
      <c r="C11" s="319"/>
      <c r="D11" s="319"/>
      <c r="E11" s="319"/>
      <c r="F11" s="319"/>
      <c r="G11" s="320"/>
      <c r="H11" s="364" t="s">
        <v>21</v>
      </c>
      <c r="I11" s="319"/>
      <c r="J11" s="319"/>
      <c r="K11" s="319"/>
      <c r="L11" s="319"/>
      <c r="M11" s="319"/>
      <c r="N11" s="319"/>
      <c r="O11" s="320"/>
    </row>
    <row r="12" spans="1:15" s="161" customFormat="1" x14ac:dyDescent="0.75">
      <c r="A12" s="364" t="s">
        <v>416</v>
      </c>
      <c r="B12" s="320"/>
      <c r="C12" s="162"/>
      <c r="D12" s="353" t="str">
        <f>A3</f>
        <v>IR3.1.5</v>
      </c>
      <c r="E12" s="319"/>
      <c r="F12" s="319"/>
      <c r="G12" s="320"/>
      <c r="H12" s="426" t="s">
        <v>164</v>
      </c>
      <c r="I12" s="319"/>
      <c r="J12" s="319"/>
      <c r="K12" s="319"/>
      <c r="L12" s="319"/>
      <c r="M12" s="319"/>
      <c r="N12" s="319"/>
      <c r="O12" s="320"/>
    </row>
    <row r="13" spans="1:15" ht="14.25" customHeight="1" x14ac:dyDescent="0.75">
      <c r="A13" s="390" t="s">
        <v>535</v>
      </c>
      <c r="B13" s="327"/>
      <c r="C13" s="327"/>
      <c r="D13" s="327"/>
      <c r="E13" s="327"/>
      <c r="F13" s="327"/>
      <c r="G13" s="328"/>
      <c r="H13" s="322" t="s">
        <v>524</v>
      </c>
      <c r="I13" s="319"/>
      <c r="J13" s="319"/>
      <c r="K13" s="319"/>
      <c r="L13" s="319"/>
      <c r="M13" s="319"/>
      <c r="N13" s="319"/>
      <c r="O13" s="320"/>
    </row>
    <row r="14" spans="1:15" ht="15" customHeight="1" x14ac:dyDescent="0.75">
      <c r="A14" s="329"/>
      <c r="B14" s="330"/>
      <c r="C14" s="330"/>
      <c r="D14" s="330"/>
      <c r="E14" s="330"/>
      <c r="F14" s="330"/>
      <c r="G14" s="331"/>
      <c r="H14" s="322" t="s">
        <v>236</v>
      </c>
      <c r="I14" s="320"/>
      <c r="J14" s="322" t="s">
        <v>237</v>
      </c>
      <c r="K14" s="320"/>
      <c r="L14" s="155" t="s">
        <v>238</v>
      </c>
      <c r="M14" s="322" t="s">
        <v>272</v>
      </c>
      <c r="N14" s="319"/>
      <c r="O14" s="320"/>
    </row>
    <row r="15" spans="1:15" ht="15.75" customHeight="1" x14ac:dyDescent="0.75">
      <c r="A15" s="329"/>
      <c r="B15" s="330"/>
      <c r="C15" s="330"/>
      <c r="D15" s="330"/>
      <c r="E15" s="330"/>
      <c r="F15" s="330"/>
      <c r="G15" s="331"/>
      <c r="H15" s="322" t="s">
        <v>240</v>
      </c>
      <c r="I15" s="320"/>
      <c r="J15" s="323"/>
      <c r="K15" s="320"/>
      <c r="L15" s="163" t="str">
        <f>IFERROR(M15/J15,"")</f>
        <v/>
      </c>
      <c r="M15" s="335">
        <f>C9</f>
        <v>0</v>
      </c>
      <c r="N15" s="319"/>
      <c r="O15" s="320"/>
    </row>
    <row r="16" spans="1:15" ht="15.75" customHeight="1" x14ac:dyDescent="0.75">
      <c r="A16" s="329"/>
      <c r="B16" s="330"/>
      <c r="C16" s="330"/>
      <c r="D16" s="330"/>
      <c r="E16" s="330"/>
      <c r="F16" s="330"/>
      <c r="G16" s="331"/>
      <c r="H16" s="322">
        <v>2024</v>
      </c>
      <c r="I16" s="320"/>
      <c r="J16" s="353"/>
      <c r="K16" s="320"/>
      <c r="L16" s="163" t="str">
        <f>IFERROR(M16/J16,"")</f>
        <v/>
      </c>
      <c r="M16" s="353">
        <f>D9</f>
        <v>4</v>
      </c>
      <c r="N16" s="319"/>
      <c r="O16" s="320"/>
    </row>
    <row r="17" spans="1:15" ht="15.75" customHeight="1" x14ac:dyDescent="0.75">
      <c r="A17" s="329"/>
      <c r="B17" s="330"/>
      <c r="C17" s="330"/>
      <c r="D17" s="330"/>
      <c r="E17" s="330"/>
      <c r="F17" s="330"/>
      <c r="G17" s="331"/>
      <c r="H17" s="322">
        <v>2025</v>
      </c>
      <c r="I17" s="320"/>
      <c r="J17" s="353"/>
      <c r="K17" s="320"/>
      <c r="L17" s="163" t="str">
        <f>IFERROR(M17/J17,"")</f>
        <v/>
      </c>
      <c r="M17" s="353">
        <f>E9</f>
        <v>6</v>
      </c>
      <c r="N17" s="319"/>
      <c r="O17" s="320"/>
    </row>
    <row r="18" spans="1:15" ht="15.75" customHeight="1" x14ac:dyDescent="0.75">
      <c r="A18" s="329"/>
      <c r="B18" s="330"/>
      <c r="C18" s="330"/>
      <c r="D18" s="330"/>
      <c r="E18" s="330"/>
      <c r="F18" s="330"/>
      <c r="G18" s="331"/>
      <c r="H18" s="322">
        <v>2026</v>
      </c>
      <c r="I18" s="320"/>
      <c r="J18" s="353"/>
      <c r="K18" s="320"/>
      <c r="L18" s="163" t="str">
        <f>IFERROR(M18/J18,"")</f>
        <v/>
      </c>
      <c r="M18" s="353">
        <f>F9</f>
        <v>8</v>
      </c>
      <c r="N18" s="319"/>
      <c r="O18" s="320"/>
    </row>
    <row r="19" spans="1:15" ht="15.75" customHeight="1" x14ac:dyDescent="0.75">
      <c r="A19" s="332"/>
      <c r="B19" s="333"/>
      <c r="C19" s="333"/>
      <c r="D19" s="333"/>
      <c r="E19" s="333"/>
      <c r="F19" s="333"/>
      <c r="G19" s="334"/>
      <c r="H19" s="322">
        <v>2027</v>
      </c>
      <c r="I19" s="320"/>
      <c r="J19" s="353"/>
      <c r="K19" s="320"/>
      <c r="L19" s="163" t="str">
        <f>IFERROR(M19/J19,"")</f>
        <v/>
      </c>
      <c r="M19" s="353">
        <f>G9</f>
        <v>10</v>
      </c>
      <c r="N19" s="319"/>
      <c r="O19" s="320"/>
    </row>
    <row r="20" spans="1:15" s="185" customFormat="1" ht="14.25" customHeight="1" x14ac:dyDescent="0.75">
      <c r="A20" s="422" t="s">
        <v>241</v>
      </c>
      <c r="B20" s="320"/>
      <c r="C20" s="421" t="s">
        <v>635</v>
      </c>
      <c r="D20" s="419"/>
      <c r="E20" s="419"/>
      <c r="F20" s="419"/>
      <c r="G20" s="419"/>
      <c r="H20" s="419"/>
      <c r="I20" s="419"/>
      <c r="J20" s="419"/>
      <c r="K20" s="419"/>
      <c r="L20" s="419"/>
      <c r="M20" s="419"/>
      <c r="N20" s="419"/>
      <c r="O20" s="420"/>
    </row>
    <row r="21" spans="1:15" s="185" customFormat="1" ht="14.25" customHeight="1" x14ac:dyDescent="0.75">
      <c r="A21" s="422" t="s">
        <v>242</v>
      </c>
      <c r="B21" s="320"/>
      <c r="C21" s="421" t="s">
        <v>636</v>
      </c>
      <c r="D21" s="419"/>
      <c r="E21" s="419"/>
      <c r="F21" s="419"/>
      <c r="G21" s="419"/>
      <c r="H21" s="419"/>
      <c r="I21" s="419"/>
      <c r="J21" s="419"/>
      <c r="K21" s="419"/>
      <c r="L21" s="419"/>
      <c r="M21" s="419"/>
      <c r="N21" s="419"/>
      <c r="O21" s="420"/>
    </row>
    <row r="22" spans="1:15" s="185" customFormat="1" ht="14.25" customHeight="1" x14ac:dyDescent="0.75">
      <c r="A22" s="422" t="s">
        <v>243</v>
      </c>
      <c r="B22" s="320"/>
      <c r="C22" s="421" t="s">
        <v>637</v>
      </c>
      <c r="D22" s="419"/>
      <c r="E22" s="419"/>
      <c r="F22" s="419"/>
      <c r="G22" s="419"/>
      <c r="H22" s="419"/>
      <c r="I22" s="419"/>
      <c r="J22" s="419"/>
      <c r="K22" s="419"/>
      <c r="L22" s="419"/>
      <c r="M22" s="419"/>
      <c r="N22" s="419"/>
      <c r="O22" s="420"/>
    </row>
    <row r="23" spans="1:15" s="185" customFormat="1" ht="14.25" customHeight="1" x14ac:dyDescent="0.75">
      <c r="A23" s="422" t="s">
        <v>276</v>
      </c>
      <c r="B23" s="320"/>
      <c r="C23" s="421" t="s">
        <v>638</v>
      </c>
      <c r="D23" s="419"/>
      <c r="E23" s="419"/>
      <c r="F23" s="419"/>
      <c r="G23" s="419"/>
      <c r="H23" s="419"/>
      <c r="I23" s="419"/>
      <c r="J23" s="419"/>
      <c r="K23" s="419"/>
      <c r="L23" s="419"/>
      <c r="M23" s="419"/>
      <c r="N23" s="419"/>
      <c r="O23" s="420"/>
    </row>
    <row r="24" spans="1:15" s="185" customFormat="1" ht="15" customHeight="1" x14ac:dyDescent="0.75">
      <c r="A24" s="186" t="s">
        <v>278</v>
      </c>
      <c r="B24" s="187"/>
      <c r="C24" s="421" t="s">
        <v>639</v>
      </c>
      <c r="D24" s="419"/>
      <c r="E24" s="419"/>
      <c r="F24" s="419"/>
      <c r="G24" s="419"/>
      <c r="H24" s="419"/>
      <c r="I24" s="419"/>
      <c r="J24" s="419"/>
      <c r="K24" s="419"/>
      <c r="L24" s="419"/>
      <c r="M24" s="419"/>
      <c r="N24" s="419"/>
      <c r="O24" s="420"/>
    </row>
    <row r="25" spans="1:15" s="185" customFormat="1" ht="15" customHeight="1" x14ac:dyDescent="0.75">
      <c r="A25" s="186" t="s">
        <v>531</v>
      </c>
      <c r="B25" s="187"/>
      <c r="C25" s="421" t="s">
        <v>640</v>
      </c>
      <c r="D25" s="419"/>
      <c r="E25" s="419"/>
      <c r="F25" s="419"/>
      <c r="G25" s="419"/>
      <c r="H25" s="419"/>
      <c r="I25" s="419"/>
      <c r="J25" s="419"/>
      <c r="K25" s="419"/>
      <c r="L25" s="419"/>
      <c r="M25" s="419"/>
      <c r="N25" s="419"/>
      <c r="O25" s="420"/>
    </row>
    <row r="26" spans="1:15" s="185" customFormat="1" ht="29.25" customHeight="1" x14ac:dyDescent="0.75">
      <c r="A26" s="186" t="s">
        <v>251</v>
      </c>
      <c r="B26" s="187"/>
      <c r="C26" s="421" t="s">
        <v>641</v>
      </c>
      <c r="D26" s="419"/>
      <c r="E26" s="419"/>
      <c r="F26" s="419"/>
      <c r="G26" s="419"/>
      <c r="H26" s="419"/>
      <c r="I26" s="419"/>
      <c r="J26" s="419"/>
      <c r="K26" s="419"/>
      <c r="L26" s="419"/>
      <c r="M26" s="419"/>
      <c r="N26" s="419"/>
      <c r="O26" s="420"/>
    </row>
    <row r="27" spans="1:15" s="185" customFormat="1" ht="30" customHeight="1" x14ac:dyDescent="0.75">
      <c r="A27" s="186" t="s">
        <v>253</v>
      </c>
      <c r="B27" s="187"/>
      <c r="C27" s="421" t="s">
        <v>642</v>
      </c>
      <c r="D27" s="419"/>
      <c r="E27" s="419"/>
      <c r="F27" s="419"/>
      <c r="G27" s="419"/>
      <c r="H27" s="419"/>
      <c r="I27" s="419"/>
      <c r="J27" s="419"/>
      <c r="K27" s="419"/>
      <c r="L27" s="419"/>
      <c r="M27" s="419"/>
      <c r="N27" s="419"/>
      <c r="O27" s="420"/>
    </row>
    <row r="28" spans="1:15" s="185" customFormat="1" ht="15" customHeight="1" x14ac:dyDescent="0.75">
      <c r="A28" s="186" t="s">
        <v>283</v>
      </c>
      <c r="B28" s="187"/>
      <c r="C28" s="418" t="s">
        <v>643</v>
      </c>
      <c r="D28" s="419"/>
      <c r="E28" s="419"/>
      <c r="F28" s="419"/>
      <c r="G28" s="419"/>
      <c r="H28" s="419"/>
      <c r="I28" s="419"/>
      <c r="J28" s="419"/>
      <c r="K28" s="419"/>
      <c r="L28" s="419"/>
      <c r="M28" s="419"/>
      <c r="N28" s="419"/>
      <c r="O28" s="420"/>
    </row>
    <row r="29" spans="1:15" s="185" customFormat="1" ht="14.25" customHeight="1" x14ac:dyDescent="0.75">
      <c r="A29" s="423" t="s">
        <v>334</v>
      </c>
      <c r="B29" s="320"/>
      <c r="C29" s="421" t="s">
        <v>644</v>
      </c>
      <c r="D29" s="419"/>
      <c r="E29" s="419"/>
      <c r="F29" s="419"/>
      <c r="G29" s="419"/>
      <c r="H29" s="419"/>
      <c r="I29" s="419"/>
      <c r="J29" s="419"/>
      <c r="K29" s="419"/>
      <c r="L29" s="419"/>
      <c r="M29" s="419"/>
      <c r="N29" s="419"/>
      <c r="O29" s="420"/>
    </row>
    <row r="30" spans="1:15" s="185" customFormat="1" ht="15" customHeight="1" x14ac:dyDescent="0.75">
      <c r="A30" s="424" t="s">
        <v>258</v>
      </c>
      <c r="B30" s="320"/>
      <c r="C30" s="418" t="s">
        <v>520</v>
      </c>
      <c r="D30" s="419"/>
      <c r="E30" s="419"/>
      <c r="F30" s="419"/>
      <c r="G30" s="419"/>
      <c r="H30" s="419"/>
      <c r="I30" s="419"/>
      <c r="J30" s="419"/>
      <c r="K30" s="419"/>
      <c r="L30" s="419"/>
      <c r="M30" s="419"/>
      <c r="N30" s="419"/>
      <c r="O30" s="420"/>
    </row>
    <row r="31" spans="1:15" s="185" customFormat="1" ht="14.25" customHeight="1" x14ac:dyDescent="0.75">
      <c r="A31" s="422" t="s">
        <v>259</v>
      </c>
      <c r="B31" s="320"/>
      <c r="C31" s="421" t="s">
        <v>645</v>
      </c>
      <c r="D31" s="419"/>
      <c r="E31" s="419"/>
      <c r="F31" s="419"/>
      <c r="G31" s="419"/>
      <c r="H31" s="419"/>
      <c r="I31" s="419"/>
      <c r="J31" s="419"/>
      <c r="K31" s="419"/>
      <c r="L31" s="419"/>
      <c r="M31" s="419"/>
      <c r="N31" s="419"/>
      <c r="O31" s="420"/>
    </row>
    <row r="32" spans="1:15" s="185" customFormat="1" ht="15" customHeight="1" x14ac:dyDescent="0.75">
      <c r="A32" s="186" t="s">
        <v>261</v>
      </c>
      <c r="B32" s="187"/>
      <c r="C32" s="418" t="s">
        <v>646</v>
      </c>
      <c r="D32" s="419"/>
      <c r="E32" s="419"/>
      <c r="F32" s="419"/>
      <c r="G32" s="419"/>
      <c r="H32" s="419"/>
      <c r="I32" s="419"/>
      <c r="J32" s="419"/>
      <c r="K32" s="419"/>
      <c r="L32" s="419"/>
      <c r="M32" s="419"/>
      <c r="N32" s="419"/>
      <c r="O32" s="420"/>
    </row>
    <row r="33" spans="1:15" s="185" customFormat="1" ht="45" customHeight="1" x14ac:dyDescent="0.75">
      <c r="A33" s="423" t="s">
        <v>518</v>
      </c>
      <c r="B33" s="320"/>
      <c r="C33" s="418" t="s">
        <v>647</v>
      </c>
      <c r="D33" s="419"/>
      <c r="E33" s="419"/>
      <c r="F33" s="419"/>
      <c r="G33" s="419"/>
      <c r="H33" s="419"/>
      <c r="I33" s="419"/>
      <c r="J33" s="419"/>
      <c r="K33" s="419"/>
      <c r="L33" s="419"/>
      <c r="M33" s="419"/>
      <c r="N33" s="419"/>
      <c r="O33" s="420"/>
    </row>
  </sheetData>
  <mergeCells count="64">
    <mergeCell ref="C30:O30"/>
    <mergeCell ref="C28:O28"/>
    <mergeCell ref="C32:O32"/>
    <mergeCell ref="C26:O26"/>
    <mergeCell ref="C27:O27"/>
    <mergeCell ref="A1:O1"/>
    <mergeCell ref="C21:O21"/>
    <mergeCell ref="H14:I14"/>
    <mergeCell ref="A31:B31"/>
    <mergeCell ref="J17:K17"/>
    <mergeCell ref="K2:O2"/>
    <mergeCell ref="J3:J4"/>
    <mergeCell ref="H19:I19"/>
    <mergeCell ref="C29:O29"/>
    <mergeCell ref="A23:B23"/>
    <mergeCell ref="H13:O13"/>
    <mergeCell ref="C25:O25"/>
    <mergeCell ref="A22:B22"/>
    <mergeCell ref="A20:B20"/>
    <mergeCell ref="H12:O12"/>
    <mergeCell ref="C22:O22"/>
    <mergeCell ref="A29:B29"/>
    <mergeCell ref="C3:C4"/>
    <mergeCell ref="H15:I15"/>
    <mergeCell ref="H18:I18"/>
    <mergeCell ref="J18:K18"/>
    <mergeCell ref="D3:G3"/>
    <mergeCell ref="I5:I9"/>
    <mergeCell ref="C23:O23"/>
    <mergeCell ref="K3:O9"/>
    <mergeCell ref="B3:B4"/>
    <mergeCell ref="J14:K14"/>
    <mergeCell ref="J19:K19"/>
    <mergeCell ref="H10:O10"/>
    <mergeCell ref="H3:H4"/>
    <mergeCell ref="C33:O33"/>
    <mergeCell ref="A11:G11"/>
    <mergeCell ref="C24:O24"/>
    <mergeCell ref="H17:I17"/>
    <mergeCell ref="M14:O14"/>
    <mergeCell ref="A12:B12"/>
    <mergeCell ref="A21:B21"/>
    <mergeCell ref="M19:O19"/>
    <mergeCell ref="H16:I16"/>
    <mergeCell ref="H11:O11"/>
    <mergeCell ref="A33:B33"/>
    <mergeCell ref="J16:K16"/>
    <mergeCell ref="C20:O20"/>
    <mergeCell ref="C31:O31"/>
    <mergeCell ref="A30:B30"/>
    <mergeCell ref="D12:G12"/>
    <mergeCell ref="H2:J2"/>
    <mergeCell ref="M16:O16"/>
    <mergeCell ref="A10:G10"/>
    <mergeCell ref="M15:O15"/>
    <mergeCell ref="A13:G19"/>
    <mergeCell ref="M18:O18"/>
    <mergeCell ref="J15:K15"/>
    <mergeCell ref="I3:I4"/>
    <mergeCell ref="M17:O17"/>
    <mergeCell ref="J5:J9"/>
    <mergeCell ref="A3:A8"/>
    <mergeCell ref="C2:G2"/>
    <mergeCell ref="H5:H9"/>
  </mergeCells>
  <pageMargins left="0.7" right="0.7" top="0.75" bottom="0.75" header="0.511811023622047" footer="0.511811023622047"/>
  <pageSetup paperSize="9" scale="50"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abSelected="1" topLeftCell="A20" zoomScaleNormal="100" workbookViewId="0">
      <selection activeCell="C33" sqref="C33:O33"/>
    </sheetView>
  </sheetViews>
  <sheetFormatPr baseColWidth="10" defaultColWidth="11.453125" defaultRowHeight="14.75" x14ac:dyDescent="0.75"/>
  <cols>
    <col min="2" max="2" width="21.453125" style="124" customWidth="1"/>
    <col min="4" max="7" width="5.453125" style="124" customWidth="1"/>
    <col min="10" max="10" width="13.453125" style="124" customWidth="1"/>
    <col min="11" max="11" width="2.76953125" style="124" customWidth="1"/>
  </cols>
  <sheetData>
    <row r="1" spans="1:15" ht="18" customHeight="1" x14ac:dyDescent="0.75">
      <c r="A1" s="370" t="s">
        <v>213</v>
      </c>
      <c r="B1" s="207"/>
      <c r="C1" s="207"/>
      <c r="D1" s="207"/>
      <c r="E1" s="207"/>
      <c r="F1" s="207"/>
      <c r="G1" s="207"/>
      <c r="H1" s="207"/>
      <c r="I1" s="207"/>
      <c r="J1" s="207"/>
      <c r="K1" s="207"/>
      <c r="L1" s="207"/>
      <c r="M1" s="207"/>
      <c r="N1" s="207"/>
      <c r="O1" s="207"/>
    </row>
    <row r="2" spans="1:15" ht="39" customHeight="1" x14ac:dyDescent="0.75">
      <c r="A2" s="126" t="s">
        <v>214</v>
      </c>
      <c r="B2" s="126" t="s">
        <v>215</v>
      </c>
      <c r="C2" s="261" t="s">
        <v>216</v>
      </c>
      <c r="D2" s="210"/>
      <c r="E2" s="210"/>
      <c r="F2" s="210"/>
      <c r="G2" s="211"/>
      <c r="H2" s="264" t="s">
        <v>414</v>
      </c>
      <c r="I2" s="210"/>
      <c r="J2" s="211"/>
      <c r="K2" s="261" t="s">
        <v>415</v>
      </c>
      <c r="L2" s="210"/>
      <c r="M2" s="210"/>
      <c r="N2" s="210"/>
      <c r="O2" s="211"/>
    </row>
    <row r="3" spans="1:15" ht="14.25" customHeight="1" x14ac:dyDescent="0.75">
      <c r="A3" s="427" t="s">
        <v>168</v>
      </c>
      <c r="B3" s="240"/>
      <c r="C3" s="254" t="s">
        <v>219</v>
      </c>
      <c r="D3" s="240" t="s">
        <v>220</v>
      </c>
      <c r="E3" s="210"/>
      <c r="F3" s="210"/>
      <c r="G3" s="211"/>
      <c r="H3" s="254" t="s">
        <v>38</v>
      </c>
      <c r="I3" s="254" t="s">
        <v>221</v>
      </c>
      <c r="J3" s="254" t="s">
        <v>222</v>
      </c>
      <c r="K3" s="375" t="s">
        <v>536</v>
      </c>
      <c r="L3" s="242"/>
      <c r="M3" s="242"/>
      <c r="N3" s="242"/>
      <c r="O3" s="243"/>
    </row>
    <row r="4" spans="1:15" ht="62.25" customHeight="1" x14ac:dyDescent="0.75">
      <c r="A4" s="244"/>
      <c r="B4" s="213"/>
      <c r="C4" s="213"/>
      <c r="D4" s="129">
        <v>2024</v>
      </c>
      <c r="E4" s="129">
        <v>2025</v>
      </c>
      <c r="F4" s="129">
        <v>2026</v>
      </c>
      <c r="G4" s="129">
        <v>2027</v>
      </c>
      <c r="H4" s="213"/>
      <c r="I4" s="213"/>
      <c r="J4" s="213"/>
      <c r="K4" s="244"/>
      <c r="L4" s="207"/>
      <c r="M4" s="207"/>
      <c r="N4" s="207"/>
      <c r="O4" s="245"/>
    </row>
    <row r="5" spans="1:15" ht="14.25" customHeight="1" x14ac:dyDescent="0.75">
      <c r="A5" s="244"/>
      <c r="B5" s="130" t="s">
        <v>224</v>
      </c>
      <c r="C5" s="66"/>
      <c r="D5" s="66"/>
      <c r="E5" s="66"/>
      <c r="F5" s="66"/>
      <c r="G5" s="66"/>
      <c r="H5" s="262" t="s">
        <v>537</v>
      </c>
      <c r="I5" s="241" t="s">
        <v>521</v>
      </c>
      <c r="J5" s="241" t="s">
        <v>46</v>
      </c>
      <c r="K5" s="244"/>
      <c r="L5" s="207"/>
      <c r="M5" s="207"/>
      <c r="N5" s="207"/>
      <c r="O5" s="245"/>
    </row>
    <row r="6" spans="1:15" ht="15" customHeight="1" x14ac:dyDescent="0.75">
      <c r="A6" s="244"/>
      <c r="B6" s="130" t="s">
        <v>227</v>
      </c>
      <c r="C6" s="66"/>
      <c r="D6" s="66"/>
      <c r="E6" s="66"/>
      <c r="F6" s="66"/>
      <c r="G6" s="66"/>
      <c r="H6" s="224"/>
      <c r="I6" s="224"/>
      <c r="J6" s="224"/>
      <c r="K6" s="244"/>
      <c r="L6" s="207"/>
      <c r="M6" s="207"/>
      <c r="N6" s="207"/>
      <c r="O6" s="245"/>
    </row>
    <row r="7" spans="1:15" ht="15" customHeight="1" x14ac:dyDescent="0.75">
      <c r="A7" s="244"/>
      <c r="B7" s="130" t="s">
        <v>228</v>
      </c>
      <c r="C7" s="68"/>
      <c r="D7" s="68"/>
      <c r="E7" s="68"/>
      <c r="F7" s="68"/>
      <c r="G7" s="68"/>
      <c r="H7" s="224"/>
      <c r="I7" s="224"/>
      <c r="J7" s="224"/>
      <c r="K7" s="244"/>
      <c r="L7" s="207"/>
      <c r="M7" s="207"/>
      <c r="N7" s="207"/>
      <c r="O7" s="245"/>
    </row>
    <row r="8" spans="1:15" ht="15" customHeight="1" x14ac:dyDescent="0.75">
      <c r="A8" s="244"/>
      <c r="B8" s="130" t="s">
        <v>229</v>
      </c>
      <c r="C8" s="68"/>
      <c r="D8" s="68"/>
      <c r="E8" s="68"/>
      <c r="F8" s="68"/>
      <c r="G8" s="68"/>
      <c r="H8" s="224"/>
      <c r="I8" s="224"/>
      <c r="J8" s="224"/>
      <c r="K8" s="244"/>
      <c r="L8" s="207"/>
      <c r="M8" s="207"/>
      <c r="N8" s="207"/>
      <c r="O8" s="245"/>
    </row>
    <row r="9" spans="1:15" ht="15" customHeight="1" x14ac:dyDescent="0.75">
      <c r="A9" s="246"/>
      <c r="B9" s="51" t="s">
        <v>230</v>
      </c>
      <c r="C9" s="69"/>
      <c r="D9" s="69">
        <v>50</v>
      </c>
      <c r="E9" s="69">
        <v>70</v>
      </c>
      <c r="F9" s="69">
        <v>70</v>
      </c>
      <c r="G9" s="69">
        <v>70</v>
      </c>
      <c r="H9" s="213"/>
      <c r="I9" s="213"/>
      <c r="J9" s="213"/>
      <c r="K9" s="246"/>
      <c r="L9" s="216"/>
      <c r="M9" s="216"/>
      <c r="N9" s="216"/>
      <c r="O9" s="247"/>
    </row>
    <row r="10" spans="1:15" s="3" customFormat="1" ht="15.75" customHeight="1" x14ac:dyDescent="0.75">
      <c r="A10" s="258" t="s">
        <v>18</v>
      </c>
      <c r="B10" s="210"/>
      <c r="C10" s="210"/>
      <c r="D10" s="210"/>
      <c r="E10" s="210"/>
      <c r="F10" s="210"/>
      <c r="G10" s="211"/>
      <c r="H10" s="375" t="s">
        <v>522</v>
      </c>
      <c r="I10" s="210"/>
      <c r="J10" s="210"/>
      <c r="K10" s="210"/>
      <c r="L10" s="210"/>
      <c r="M10" s="210"/>
      <c r="N10" s="210"/>
      <c r="O10" s="211"/>
    </row>
    <row r="11" spans="1:15" s="3" customFormat="1" ht="15.75" customHeight="1" x14ac:dyDescent="0.75">
      <c r="A11" s="379" t="s">
        <v>20</v>
      </c>
      <c r="B11" s="210"/>
      <c r="C11" s="210"/>
      <c r="D11" s="210"/>
      <c r="E11" s="210"/>
      <c r="F11" s="210"/>
      <c r="G11" s="211"/>
      <c r="H11" s="375" t="s">
        <v>21</v>
      </c>
      <c r="I11" s="210"/>
      <c r="J11" s="210"/>
      <c r="K11" s="210"/>
      <c r="L11" s="210"/>
      <c r="M11" s="210"/>
      <c r="N11" s="210"/>
      <c r="O11" s="211"/>
    </row>
    <row r="12" spans="1:15" s="3" customFormat="1" ht="24.75" customHeight="1" x14ac:dyDescent="0.75">
      <c r="A12" s="375" t="s">
        <v>416</v>
      </c>
      <c r="B12" s="211"/>
      <c r="C12" s="71"/>
      <c r="D12" s="372" t="str">
        <f>A3</f>
        <v>IR3.1.6</v>
      </c>
      <c r="E12" s="210"/>
      <c r="F12" s="210"/>
      <c r="G12" s="211"/>
      <c r="H12" s="408" t="s">
        <v>538</v>
      </c>
      <c r="I12" s="210"/>
      <c r="J12" s="210"/>
      <c r="K12" s="210"/>
      <c r="L12" s="210"/>
      <c r="M12" s="210"/>
      <c r="N12" s="210"/>
      <c r="O12" s="211"/>
    </row>
    <row r="13" spans="1:15" ht="14.25" customHeight="1" x14ac:dyDescent="0.75">
      <c r="A13" s="268" t="s">
        <v>539</v>
      </c>
      <c r="B13" s="242"/>
      <c r="C13" s="242"/>
      <c r="D13" s="242"/>
      <c r="E13" s="242"/>
      <c r="F13" s="242"/>
      <c r="G13" s="243"/>
      <c r="H13" s="240" t="s">
        <v>524</v>
      </c>
      <c r="I13" s="210"/>
      <c r="J13" s="210"/>
      <c r="K13" s="210"/>
      <c r="L13" s="210"/>
      <c r="M13" s="210"/>
      <c r="N13" s="210"/>
      <c r="O13" s="211"/>
    </row>
    <row r="14" spans="1:15" ht="15" customHeight="1" x14ac:dyDescent="0.75">
      <c r="A14" s="244"/>
      <c r="B14" s="207"/>
      <c r="C14" s="207"/>
      <c r="D14" s="207"/>
      <c r="E14" s="207"/>
      <c r="F14" s="207"/>
      <c r="G14" s="245"/>
      <c r="H14" s="240" t="s">
        <v>236</v>
      </c>
      <c r="I14" s="211"/>
      <c r="J14" s="240" t="s">
        <v>237</v>
      </c>
      <c r="K14" s="211"/>
      <c r="L14" s="129" t="s">
        <v>238</v>
      </c>
      <c r="M14" s="240" t="s">
        <v>272</v>
      </c>
      <c r="N14" s="210"/>
      <c r="O14" s="211"/>
    </row>
    <row r="15" spans="1:15" ht="15.75" customHeight="1" x14ac:dyDescent="0.75">
      <c r="A15" s="244"/>
      <c r="B15" s="207"/>
      <c r="C15" s="207"/>
      <c r="D15" s="207"/>
      <c r="E15" s="207"/>
      <c r="F15" s="207"/>
      <c r="G15" s="245"/>
      <c r="H15" s="240" t="s">
        <v>240</v>
      </c>
      <c r="I15" s="211"/>
      <c r="J15" s="241"/>
      <c r="K15" s="211"/>
      <c r="L15" s="53" t="str">
        <f>IFERROR(M15/J15,"")</f>
        <v/>
      </c>
      <c r="M15" s="252">
        <f>C9</f>
        <v>0</v>
      </c>
      <c r="N15" s="210"/>
      <c r="O15" s="211"/>
    </row>
    <row r="16" spans="1:15" ht="15.75" customHeight="1" x14ac:dyDescent="0.75">
      <c r="A16" s="244"/>
      <c r="B16" s="207"/>
      <c r="C16" s="207"/>
      <c r="D16" s="207"/>
      <c r="E16" s="207"/>
      <c r="F16" s="207"/>
      <c r="G16" s="245"/>
      <c r="H16" s="240">
        <v>2024</v>
      </c>
      <c r="I16" s="211"/>
      <c r="J16" s="372"/>
      <c r="K16" s="211"/>
      <c r="L16" s="53" t="str">
        <f t="shared" ref="L16:L19" si="0">IFERROR(M16/J16,"")</f>
        <v/>
      </c>
      <c r="M16" s="372">
        <f>D9</f>
        <v>50</v>
      </c>
      <c r="N16" s="210"/>
      <c r="O16" s="211"/>
    </row>
    <row r="17" spans="1:15" ht="15.75" customHeight="1" x14ac:dyDescent="0.75">
      <c r="A17" s="244"/>
      <c r="B17" s="207"/>
      <c r="C17" s="207"/>
      <c r="D17" s="207"/>
      <c r="E17" s="207"/>
      <c r="F17" s="207"/>
      <c r="G17" s="245"/>
      <c r="H17" s="240">
        <v>2025</v>
      </c>
      <c r="I17" s="211"/>
      <c r="J17" s="372"/>
      <c r="K17" s="211"/>
      <c r="L17" s="53" t="str">
        <f t="shared" si="0"/>
        <v/>
      </c>
      <c r="M17" s="372">
        <f>E9</f>
        <v>70</v>
      </c>
      <c r="N17" s="210"/>
      <c r="O17" s="211"/>
    </row>
    <row r="18" spans="1:15" ht="15.75" customHeight="1" x14ac:dyDescent="0.75">
      <c r="A18" s="244"/>
      <c r="B18" s="207"/>
      <c r="C18" s="207"/>
      <c r="D18" s="207"/>
      <c r="E18" s="207"/>
      <c r="F18" s="207"/>
      <c r="G18" s="245"/>
      <c r="H18" s="240">
        <v>2026</v>
      </c>
      <c r="I18" s="211"/>
      <c r="J18" s="372"/>
      <c r="K18" s="211"/>
      <c r="L18" s="53" t="str">
        <f t="shared" si="0"/>
        <v/>
      </c>
      <c r="M18" s="372">
        <f>F9</f>
        <v>70</v>
      </c>
      <c r="N18" s="210"/>
      <c r="O18" s="211"/>
    </row>
    <row r="19" spans="1:15" ht="15.75" customHeight="1" x14ac:dyDescent="0.75">
      <c r="A19" s="246"/>
      <c r="B19" s="216"/>
      <c r="C19" s="216"/>
      <c r="D19" s="216"/>
      <c r="E19" s="216"/>
      <c r="F19" s="216"/>
      <c r="G19" s="247"/>
      <c r="H19" s="240">
        <v>2027</v>
      </c>
      <c r="I19" s="211"/>
      <c r="J19" s="372"/>
      <c r="K19" s="211"/>
      <c r="L19" s="53" t="str">
        <f t="shared" si="0"/>
        <v/>
      </c>
      <c r="M19" s="372">
        <f>G9</f>
        <v>70</v>
      </c>
      <c r="N19" s="210"/>
      <c r="O19" s="211"/>
    </row>
    <row r="20" spans="1:15" ht="14.25" customHeight="1" x14ac:dyDescent="0.75">
      <c r="A20" s="378" t="s">
        <v>241</v>
      </c>
      <c r="B20" s="211"/>
      <c r="C20" s="402" t="s">
        <v>648</v>
      </c>
      <c r="D20" s="210"/>
      <c r="E20" s="210"/>
      <c r="F20" s="210"/>
      <c r="G20" s="210"/>
      <c r="H20" s="210"/>
      <c r="I20" s="210"/>
      <c r="J20" s="210"/>
      <c r="K20" s="210"/>
      <c r="L20" s="210"/>
      <c r="M20" s="210"/>
      <c r="N20" s="210"/>
      <c r="O20" s="211"/>
    </row>
    <row r="21" spans="1:15" ht="14.25" customHeight="1" x14ac:dyDescent="0.75">
      <c r="A21" s="378" t="s">
        <v>242</v>
      </c>
      <c r="B21" s="211"/>
      <c r="C21" s="402" t="s">
        <v>649</v>
      </c>
      <c r="D21" s="210"/>
      <c r="E21" s="210"/>
      <c r="F21" s="210"/>
      <c r="G21" s="210"/>
      <c r="H21" s="210"/>
      <c r="I21" s="210"/>
      <c r="J21" s="210"/>
      <c r="K21" s="210"/>
      <c r="L21" s="210"/>
      <c r="M21" s="210"/>
      <c r="N21" s="210"/>
      <c r="O21" s="211"/>
    </row>
    <row r="22" spans="1:15" ht="14.25" customHeight="1" x14ac:dyDescent="0.75">
      <c r="A22" s="378" t="s">
        <v>243</v>
      </c>
      <c r="B22" s="211"/>
      <c r="C22" s="402" t="s">
        <v>650</v>
      </c>
      <c r="D22" s="210"/>
      <c r="E22" s="210"/>
      <c r="F22" s="210"/>
      <c r="G22" s="210"/>
      <c r="H22" s="210"/>
      <c r="I22" s="210"/>
      <c r="J22" s="210"/>
      <c r="K22" s="210"/>
      <c r="L22" s="210"/>
      <c r="M22" s="210"/>
      <c r="N22" s="210"/>
      <c r="O22" s="211"/>
    </row>
    <row r="23" spans="1:15" ht="14.25" customHeight="1" x14ac:dyDescent="0.75">
      <c r="A23" s="378" t="s">
        <v>276</v>
      </c>
      <c r="B23" s="211"/>
      <c r="C23" s="402" t="s">
        <v>651</v>
      </c>
      <c r="D23" s="210"/>
      <c r="E23" s="210"/>
      <c r="F23" s="210"/>
      <c r="G23" s="210"/>
      <c r="H23" s="210"/>
      <c r="I23" s="210"/>
      <c r="J23" s="210"/>
      <c r="K23" s="210"/>
      <c r="L23" s="210"/>
      <c r="M23" s="210"/>
      <c r="N23" s="210"/>
      <c r="O23" s="211"/>
    </row>
    <row r="24" spans="1:15" ht="15" customHeight="1" x14ac:dyDescent="0.75">
      <c r="A24" s="72" t="s">
        <v>278</v>
      </c>
      <c r="B24" s="73"/>
      <c r="C24" s="406" t="s">
        <v>652</v>
      </c>
      <c r="D24" s="210"/>
      <c r="E24" s="210"/>
      <c r="F24" s="210"/>
      <c r="G24" s="210"/>
      <c r="H24" s="210"/>
      <c r="I24" s="210"/>
      <c r="J24" s="210"/>
      <c r="K24" s="210"/>
      <c r="L24" s="210"/>
      <c r="M24" s="210"/>
      <c r="N24" s="210"/>
      <c r="O24" s="211"/>
    </row>
    <row r="25" spans="1:15" ht="15" customHeight="1" x14ac:dyDescent="0.75">
      <c r="A25" s="72" t="s">
        <v>306</v>
      </c>
      <c r="B25" s="73"/>
      <c r="C25" s="89" t="s">
        <v>653</v>
      </c>
      <c r="D25" s="90"/>
      <c r="E25" s="90"/>
      <c r="F25" s="90"/>
      <c r="G25" s="90"/>
      <c r="H25" s="90"/>
      <c r="I25" s="90"/>
      <c r="J25" s="90"/>
      <c r="K25" s="90"/>
      <c r="L25" s="90"/>
      <c r="M25" s="90"/>
      <c r="N25" s="90"/>
      <c r="O25" s="91"/>
    </row>
    <row r="26" spans="1:15" ht="15" customHeight="1" x14ac:dyDescent="0.75">
      <c r="A26" s="72" t="s">
        <v>251</v>
      </c>
      <c r="B26" s="73"/>
      <c r="C26" s="89" t="s">
        <v>654</v>
      </c>
      <c r="D26" s="90"/>
      <c r="E26" s="90"/>
      <c r="F26" s="90"/>
      <c r="G26" s="90"/>
      <c r="H26" s="90"/>
      <c r="I26" s="90"/>
      <c r="J26" s="90"/>
      <c r="K26" s="90"/>
      <c r="L26" s="90"/>
      <c r="M26" s="90"/>
      <c r="N26" s="90"/>
      <c r="O26" s="91"/>
    </row>
    <row r="27" spans="1:15" ht="15" customHeight="1" x14ac:dyDescent="0.75">
      <c r="A27" s="72" t="s">
        <v>253</v>
      </c>
      <c r="B27" s="73"/>
      <c r="C27" s="89" t="s">
        <v>557</v>
      </c>
      <c r="D27" s="90"/>
      <c r="E27" s="90"/>
      <c r="F27" s="90"/>
      <c r="G27" s="90"/>
      <c r="H27" s="90"/>
      <c r="I27" s="90"/>
      <c r="J27" s="90"/>
      <c r="K27" s="90"/>
      <c r="L27" s="90"/>
      <c r="M27" s="90"/>
      <c r="N27" s="90"/>
      <c r="O27" s="91"/>
    </row>
    <row r="28" spans="1:15" ht="15" customHeight="1" x14ac:dyDescent="0.75">
      <c r="A28" s="72" t="s">
        <v>283</v>
      </c>
      <c r="B28" s="73"/>
      <c r="C28" s="404" t="s">
        <v>655</v>
      </c>
      <c r="D28" s="210"/>
      <c r="E28" s="210"/>
      <c r="F28" s="210"/>
      <c r="G28" s="210"/>
      <c r="H28" s="210"/>
      <c r="I28" s="210"/>
      <c r="J28" s="210"/>
      <c r="K28" s="210"/>
      <c r="L28" s="210"/>
      <c r="M28" s="210"/>
      <c r="N28" s="210"/>
      <c r="O28" s="211"/>
    </row>
    <row r="29" spans="1:15" ht="14.25" customHeight="1" x14ac:dyDescent="0.75">
      <c r="A29" s="381" t="s">
        <v>334</v>
      </c>
      <c r="B29" s="211"/>
      <c r="C29" s="402" t="s">
        <v>656</v>
      </c>
      <c r="D29" s="210"/>
      <c r="E29" s="210"/>
      <c r="F29" s="210"/>
      <c r="G29" s="210"/>
      <c r="H29" s="210"/>
      <c r="I29" s="210"/>
      <c r="J29" s="210"/>
      <c r="K29" s="210"/>
      <c r="L29" s="210"/>
      <c r="M29" s="210"/>
      <c r="N29" s="210"/>
      <c r="O29" s="211"/>
    </row>
    <row r="30" spans="1:15" ht="15" customHeight="1" x14ac:dyDescent="0.75">
      <c r="A30" s="371" t="s">
        <v>258</v>
      </c>
      <c r="B30" s="211"/>
      <c r="C30" s="404" t="s">
        <v>537</v>
      </c>
      <c r="D30" s="210"/>
      <c r="E30" s="210"/>
      <c r="F30" s="210"/>
      <c r="G30" s="210"/>
      <c r="H30" s="210"/>
      <c r="I30" s="210"/>
      <c r="J30" s="210"/>
      <c r="K30" s="210"/>
      <c r="L30" s="210"/>
      <c r="M30" s="210"/>
      <c r="N30" s="210"/>
      <c r="O30" s="211"/>
    </row>
    <row r="31" spans="1:15" ht="14.25" customHeight="1" x14ac:dyDescent="0.75">
      <c r="A31" s="378" t="s">
        <v>259</v>
      </c>
      <c r="B31" s="211"/>
      <c r="C31" s="406" t="s">
        <v>657</v>
      </c>
      <c r="D31" s="210"/>
      <c r="E31" s="210"/>
      <c r="F31" s="210"/>
      <c r="G31" s="210"/>
      <c r="H31" s="210"/>
      <c r="I31" s="210"/>
      <c r="J31" s="210"/>
      <c r="K31" s="210"/>
      <c r="L31" s="210"/>
      <c r="M31" s="210"/>
      <c r="N31" s="210"/>
      <c r="O31" s="211"/>
    </row>
    <row r="32" spans="1:15" ht="15" customHeight="1" x14ac:dyDescent="0.75">
      <c r="A32" s="72" t="s">
        <v>261</v>
      </c>
      <c r="B32" s="73"/>
      <c r="C32" s="404" t="s">
        <v>658</v>
      </c>
      <c r="D32" s="210"/>
      <c r="E32" s="210"/>
      <c r="F32" s="210"/>
      <c r="G32" s="210"/>
      <c r="H32" s="210"/>
      <c r="I32" s="210"/>
      <c r="J32" s="210"/>
      <c r="K32" s="210"/>
      <c r="L32" s="210"/>
      <c r="M32" s="210"/>
      <c r="N32" s="210"/>
      <c r="O32" s="211"/>
    </row>
    <row r="33" spans="1:15" ht="39" customHeight="1" x14ac:dyDescent="0.75">
      <c r="A33" s="381" t="s">
        <v>314</v>
      </c>
      <c r="B33" s="211"/>
      <c r="C33" s="405" t="s">
        <v>659</v>
      </c>
      <c r="D33" s="210"/>
      <c r="E33" s="210"/>
      <c r="F33" s="210"/>
      <c r="G33" s="210"/>
      <c r="H33" s="210"/>
      <c r="I33" s="210"/>
      <c r="J33" s="210"/>
      <c r="K33" s="210"/>
      <c r="L33" s="210"/>
      <c r="M33" s="210"/>
      <c r="N33" s="210"/>
      <c r="O33" s="211"/>
    </row>
  </sheetData>
  <mergeCells count="61">
    <mergeCell ref="A1:O1"/>
    <mergeCell ref="J18:K18"/>
    <mergeCell ref="C21:O21"/>
    <mergeCell ref="H14:I14"/>
    <mergeCell ref="A31:B31"/>
    <mergeCell ref="J17:K17"/>
    <mergeCell ref="H12:O12"/>
    <mergeCell ref="C22:O22"/>
    <mergeCell ref="A29:B29"/>
    <mergeCell ref="C31:O31"/>
    <mergeCell ref="C3:C4"/>
    <mergeCell ref="H15:I15"/>
    <mergeCell ref="H18:I18"/>
    <mergeCell ref="H2:J2"/>
    <mergeCell ref="M16:O16"/>
    <mergeCell ref="I3:I4"/>
    <mergeCell ref="C33:O33"/>
    <mergeCell ref="A11:G11"/>
    <mergeCell ref="C24:O24"/>
    <mergeCell ref="H17:I17"/>
    <mergeCell ref="M14:O14"/>
    <mergeCell ref="A12:B12"/>
    <mergeCell ref="A21:B21"/>
    <mergeCell ref="M19:O19"/>
    <mergeCell ref="H16:I16"/>
    <mergeCell ref="H11:O11"/>
    <mergeCell ref="A33:B33"/>
    <mergeCell ref="J16:K16"/>
    <mergeCell ref="C20:O20"/>
    <mergeCell ref="H19:I19"/>
    <mergeCell ref="C29:O29"/>
    <mergeCell ref="A23:B23"/>
    <mergeCell ref="J3:J4"/>
    <mergeCell ref="C32:O32"/>
    <mergeCell ref="A10:G10"/>
    <mergeCell ref="M15:O15"/>
    <mergeCell ref="C28:O28"/>
    <mergeCell ref="A13:G19"/>
    <mergeCell ref="M18:O18"/>
    <mergeCell ref="J15:K15"/>
    <mergeCell ref="M17:O17"/>
    <mergeCell ref="C30:O30"/>
    <mergeCell ref="H13:O13"/>
    <mergeCell ref="A22:B22"/>
    <mergeCell ref="A20:B20"/>
    <mergeCell ref="J5:J9"/>
    <mergeCell ref="C2:G2"/>
    <mergeCell ref="K2:O2"/>
    <mergeCell ref="H3:H4"/>
    <mergeCell ref="A30:B30"/>
    <mergeCell ref="D3:G3"/>
    <mergeCell ref="I5:I9"/>
    <mergeCell ref="D12:G12"/>
    <mergeCell ref="C23:O23"/>
    <mergeCell ref="A3:A9"/>
    <mergeCell ref="J14:K14"/>
    <mergeCell ref="B3:B4"/>
    <mergeCell ref="K3:O9"/>
    <mergeCell ref="J19:K19"/>
    <mergeCell ref="H10:O10"/>
    <mergeCell ref="H5:H9"/>
  </mergeCells>
  <pageMargins left="0.7" right="0.7" top="0.75" bottom="0.75" header="0.511811023622047" footer="0.511811023622047"/>
  <pageSetup paperSize="9" scale="50"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heetViews>
  <sheetFormatPr baseColWidth="10" defaultColWidth="11.453125" defaultRowHeight="14.75" x14ac:dyDescent="0.75"/>
  <sheetData/>
  <pageMargins left="0.7" right="0.7" top="0.75" bottom="0.75"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heetViews>
  <sheetFormatPr baseColWidth="10" defaultColWidth="11.453125" defaultRowHeight="14.75" x14ac:dyDescent="0.75"/>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37</vt:i4>
      </vt:variant>
      <vt:variant>
        <vt:lpstr>Plages nommées</vt:lpstr>
      </vt:variant>
      <vt:variant>
        <vt:i4>3</vt:i4>
      </vt:variant>
    </vt:vector>
  </HeadingPairs>
  <TitlesOfParts>
    <vt:vector size="40" baseType="lpstr">
      <vt:lpstr>Accueil</vt:lpstr>
      <vt:lpstr>Cadre Rés</vt:lpstr>
      <vt:lpstr>Cadre Rés REV</vt:lpstr>
      <vt:lpstr>IODP1.1 REV</vt:lpstr>
      <vt:lpstr>IODP2.1.1 REV</vt:lpstr>
      <vt:lpstr>IODP2.1.2 REV</vt:lpstr>
      <vt:lpstr>IODP2.3 REV</vt:lpstr>
      <vt:lpstr>IODP2.4 REV</vt:lpstr>
      <vt:lpstr>IODP2.5 REV</vt:lpstr>
      <vt:lpstr>IODP3.1 REV</vt:lpstr>
      <vt:lpstr>IR1.1.1.1</vt:lpstr>
      <vt:lpstr>IR1.1.1.2</vt:lpstr>
      <vt:lpstr>IR1.1.2</vt:lpstr>
      <vt:lpstr>IR1.1.3.1</vt:lpstr>
      <vt:lpstr>IR1.1.3.2</vt:lpstr>
      <vt:lpstr>IR1.1.4</vt:lpstr>
      <vt:lpstr>IR1.1.5</vt:lpstr>
      <vt:lpstr>IR1.1.6.1</vt:lpstr>
      <vt:lpstr>IR1.1.6.2</vt:lpstr>
      <vt:lpstr>IR2.1.1</vt:lpstr>
      <vt:lpstr>IR2.1.2</vt:lpstr>
      <vt:lpstr>IR2.1.3</vt:lpstr>
      <vt:lpstr>IR2.1.4</vt:lpstr>
      <vt:lpstr>IR2.2.2</vt:lpstr>
      <vt:lpstr>IR2.2.3</vt:lpstr>
      <vt:lpstr>IR2.2.4</vt:lpstr>
      <vt:lpstr>IR2.2.5</vt:lpstr>
      <vt:lpstr>IR2.2.6</vt:lpstr>
      <vt:lpstr>IR2.2.7</vt:lpstr>
      <vt:lpstr>IR3.1.1</vt:lpstr>
      <vt:lpstr>IR3.1.2</vt:lpstr>
      <vt:lpstr>IR3.1.3</vt:lpstr>
      <vt:lpstr>IR3.1.4</vt:lpstr>
      <vt:lpstr>IR3.1.5</vt:lpstr>
      <vt:lpstr>IR3.1.6</vt:lpstr>
      <vt:lpstr>Feuil1</vt:lpstr>
      <vt:lpstr>Feuil2</vt:lpstr>
      <vt:lpstr>'Cadre Rés'!Zone_d_impression</vt:lpstr>
      <vt:lpstr>IR2.1.1!Zone_d_impression</vt:lpstr>
      <vt:lpstr>IR2.1.2!Zone_d_impression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Dell</cp:lastModifiedBy>
  <cp:revision>0</cp:revision>
  <dcterms:created xsi:type="dcterms:W3CDTF">2023-11-11T14:07:12Z</dcterms:created>
  <dcterms:modified xsi:type="dcterms:W3CDTF">2026-09-01T08:47:59Z</dcterms:modified>
  <dc:language>en-US</dc:language>
</cp:coreProperties>
</file>